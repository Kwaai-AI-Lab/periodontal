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iledesignsdental-my.sharepoint.com/personal/edward_coote_21d_co_uk/Documents/Documents/PD_AD/Data/Results/65 years plus V2/"/>
    </mc:Choice>
  </mc:AlternateContent>
  <xr:revisionPtr revIDLastSave="1034" documentId="8_{6108A970-B7C7-4FC5-9D44-83C94612CB13}" xr6:coauthVersionLast="47" xr6:coauthVersionMax="47" xr10:uidLastSave="{89B0E550-2CD1-4CFE-82C1-86AB8ACD559D}"/>
  <bookViews>
    <workbookView xWindow="12690" yWindow="0" windowWidth="13020" windowHeight="20985" activeTab="1" xr2:uid="{08712DC2-4292-424D-B011-07C5FF828451}"/>
  </bookViews>
  <sheets>
    <sheet name="25%" sheetId="1" r:id="rId1"/>
    <sheet name="50%" sheetId="2" r:id="rId2"/>
    <sheet name="75%" sheetId="3" r:id="rId3"/>
    <sheet name="Total_Results" sheetId="4" r:id="rId4"/>
    <sheet name="PSA" sheetId="5" r:id="rId5"/>
    <sheet name="OneWay_Sensitiv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O20" i="2"/>
  <c r="P20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3" i="3"/>
  <c r="F11" i="3"/>
  <c r="F4" i="3"/>
  <c r="F5" i="3"/>
  <c r="F6" i="3"/>
  <c r="F7" i="3"/>
  <c r="F8" i="3"/>
  <c r="F9" i="3"/>
  <c r="F10" i="3"/>
  <c r="F12" i="3"/>
  <c r="F13" i="3"/>
  <c r="F14" i="3"/>
  <c r="F15" i="3"/>
  <c r="F16" i="3"/>
  <c r="F17" i="3"/>
  <c r="F18" i="3"/>
  <c r="F19" i="3"/>
  <c r="F3" i="3"/>
  <c r="D75" i="4" l="1"/>
  <c r="Q79" i="4"/>
  <c r="Q78" i="4" l="1"/>
  <c r="E20" i="3" l="1"/>
  <c r="O20" i="3"/>
  <c r="E20" i="2"/>
  <c r="N20" i="2"/>
  <c r="AD3" i="1"/>
  <c r="T54" i="4"/>
  <c r="T51" i="4"/>
  <c r="T50" i="4"/>
  <c r="T47" i="4"/>
  <c r="T46" i="4"/>
  <c r="T37" i="4"/>
  <c r="T36" i="4"/>
  <c r="T40" i="4" s="1"/>
  <c r="T33" i="4"/>
  <c r="T32" i="4"/>
  <c r="T30" i="4"/>
  <c r="T23" i="4"/>
  <c r="T24" i="4"/>
  <c r="T22" i="4"/>
  <c r="T18" i="4"/>
  <c r="T19" i="4"/>
  <c r="T17" i="4"/>
  <c r="T14" i="4"/>
  <c r="T13" i="4"/>
  <c r="T12" i="4"/>
  <c r="T8" i="4"/>
  <c r="T7" i="4"/>
  <c r="T5" i="4"/>
  <c r="T41" i="4" s="1"/>
  <c r="T4" i="4"/>
  <c r="E20" i="1"/>
  <c r="D72" i="4"/>
  <c r="D73" i="4"/>
  <c r="D74" i="4"/>
  <c r="D71" i="4"/>
  <c r="N20" i="1"/>
  <c r="H28" i="5"/>
  <c r="H29" i="5"/>
  <c r="H30" i="5"/>
  <c r="H31" i="5"/>
  <c r="H32" i="5"/>
  <c r="H33" i="5"/>
  <c r="H34" i="5"/>
  <c r="H35" i="5"/>
  <c r="H36" i="5"/>
  <c r="H27" i="5"/>
  <c r="H16" i="5"/>
  <c r="H17" i="5"/>
  <c r="H18" i="5"/>
  <c r="H19" i="5"/>
  <c r="H20" i="5"/>
  <c r="H21" i="5"/>
  <c r="H22" i="5"/>
  <c r="H23" i="5"/>
  <c r="H24" i="5"/>
  <c r="H15" i="5"/>
  <c r="H12" i="5"/>
  <c r="H4" i="5"/>
  <c r="H5" i="5"/>
  <c r="H6" i="5"/>
  <c r="H7" i="5"/>
  <c r="H8" i="5"/>
  <c r="H9" i="5"/>
  <c r="H10" i="5"/>
  <c r="H11" i="5"/>
  <c r="H3" i="5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S47" i="4"/>
  <c r="S59" i="4" s="1"/>
  <c r="R47" i="4"/>
  <c r="Q47" i="4"/>
  <c r="P47" i="4"/>
  <c r="O47" i="4"/>
  <c r="O59" i="4" s="1"/>
  <c r="N47" i="4"/>
  <c r="M47" i="4"/>
  <c r="L47" i="4"/>
  <c r="K47" i="4"/>
  <c r="J47" i="4"/>
  <c r="I47" i="4"/>
  <c r="H47" i="4"/>
  <c r="G47" i="4"/>
  <c r="G59" i="4" s="1"/>
  <c r="F47" i="4"/>
  <c r="E47" i="4"/>
  <c r="D47" i="4"/>
  <c r="C47" i="4"/>
  <c r="C59" i="4" s="1"/>
  <c r="B47" i="4"/>
  <c r="S46" i="4"/>
  <c r="S58" i="4" s="1"/>
  <c r="R46" i="4"/>
  <c r="R58" i="4" s="1"/>
  <c r="Q46" i="4"/>
  <c r="Q58" i="4" s="1"/>
  <c r="P46" i="4"/>
  <c r="P58" i="4" s="1"/>
  <c r="O46" i="4"/>
  <c r="N46" i="4"/>
  <c r="N58" i="4" s="1"/>
  <c r="M46" i="4"/>
  <c r="M58" i="4" s="1"/>
  <c r="L46" i="4"/>
  <c r="L58" i="4" s="1"/>
  <c r="K46" i="4"/>
  <c r="K58" i="4" s="1"/>
  <c r="J46" i="4"/>
  <c r="J58" i="4" s="1"/>
  <c r="I46" i="4"/>
  <c r="I58" i="4" s="1"/>
  <c r="H46" i="4"/>
  <c r="H58" i="4" s="1"/>
  <c r="G46" i="4"/>
  <c r="G58" i="4" s="1"/>
  <c r="F46" i="4"/>
  <c r="F58" i="4" s="1"/>
  <c r="E46" i="4"/>
  <c r="E58" i="4" s="1"/>
  <c r="D46" i="4"/>
  <c r="D58" i="4" s="1"/>
  <c r="C46" i="4"/>
  <c r="C58" i="4" s="1"/>
  <c r="B46" i="4"/>
  <c r="B58" i="4" s="1"/>
  <c r="E40" i="4"/>
  <c r="I40" i="4"/>
  <c r="J40" i="4"/>
  <c r="Q40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S36" i="4"/>
  <c r="R36" i="4"/>
  <c r="R40" i="4" s="1"/>
  <c r="Q36" i="4"/>
  <c r="P36" i="4"/>
  <c r="P40" i="4" s="1"/>
  <c r="O36" i="4"/>
  <c r="O40" i="4" s="1"/>
  <c r="N36" i="4"/>
  <c r="N40" i="4" s="1"/>
  <c r="M36" i="4"/>
  <c r="M40" i="4" s="1"/>
  <c r="L36" i="4"/>
  <c r="K36" i="4"/>
  <c r="K40" i="4" s="1"/>
  <c r="J36" i="4"/>
  <c r="I36" i="4"/>
  <c r="H36" i="4"/>
  <c r="G36" i="4"/>
  <c r="F36" i="4"/>
  <c r="F40" i="4" s="1"/>
  <c r="E36" i="4"/>
  <c r="D36" i="4"/>
  <c r="C36" i="4"/>
  <c r="B36" i="4"/>
  <c r="B40" i="4" s="1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S5" i="4"/>
  <c r="R5" i="4"/>
  <c r="R41" i="4" s="1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S4" i="4"/>
  <c r="S40" i="4" s="1"/>
  <c r="R4" i="4"/>
  <c r="Q4" i="4"/>
  <c r="P4" i="4"/>
  <c r="O4" i="4"/>
  <c r="O58" i="4" s="1"/>
  <c r="N4" i="4"/>
  <c r="M4" i="4"/>
  <c r="L4" i="4"/>
  <c r="L40" i="4" s="1"/>
  <c r="K4" i="4"/>
  <c r="J4" i="4"/>
  <c r="I4" i="4"/>
  <c r="H4" i="4"/>
  <c r="H40" i="4" s="1"/>
  <c r="G4" i="4"/>
  <c r="G40" i="4" s="1"/>
  <c r="F4" i="4"/>
  <c r="E4" i="4"/>
  <c r="D4" i="4"/>
  <c r="D40" i="4" s="1"/>
  <c r="C4" i="4"/>
  <c r="B4" i="4"/>
  <c r="T58" i="4" l="1"/>
  <c r="C40" i="4"/>
  <c r="D59" i="4"/>
  <c r="P59" i="4"/>
  <c r="E59" i="4"/>
  <c r="Q59" i="4"/>
  <c r="F59" i="4"/>
  <c r="R59" i="4"/>
  <c r="B41" i="4"/>
  <c r="J41" i="4"/>
  <c r="K41" i="4"/>
  <c r="L41" i="4"/>
  <c r="M41" i="4"/>
  <c r="I59" i="4"/>
  <c r="K59" i="4"/>
  <c r="E41" i="4"/>
  <c r="Q41" i="4"/>
  <c r="H59" i="4"/>
  <c r="T59" i="4"/>
  <c r="O41" i="4"/>
  <c r="N41" i="4"/>
  <c r="C41" i="4"/>
  <c r="P41" i="4"/>
  <c r="F41" i="4"/>
  <c r="G41" i="4"/>
  <c r="S41" i="4"/>
  <c r="J59" i="4"/>
  <c r="H41" i="4"/>
  <c r="I41" i="4"/>
  <c r="L59" i="4"/>
  <c r="D41" i="4"/>
  <c r="M59" i="4"/>
  <c r="B59" i="4"/>
  <c r="N59" i="4"/>
</calcChain>
</file>

<file path=xl/sharedStrings.xml><?xml version="1.0" encoding="utf-8"?>
<sst xmlns="http://schemas.openxmlformats.org/spreadsheetml/2006/main" count="273" uniqueCount="101">
  <si>
    <t>Total</t>
  </si>
  <si>
    <t>Impact on future dementia burden</t>
  </si>
  <si>
    <t>Cases avoided</t>
  </si>
  <si>
    <t>Prevalence difference</t>
  </si>
  <si>
    <t>75% - 50% PD prevalence</t>
  </si>
  <si>
    <t>50% - 25% PD prevalence</t>
  </si>
  <si>
    <t>75% prevalence</t>
  </si>
  <si>
    <t>Mild</t>
  </si>
  <si>
    <t>Moderate</t>
  </si>
  <si>
    <t>Severe</t>
  </si>
  <si>
    <t>50% prevalence</t>
  </si>
  <si>
    <t>25% prevalence</t>
  </si>
  <si>
    <t>Budget impact and who pays</t>
  </si>
  <si>
    <t>Net savings professional care</t>
  </si>
  <si>
    <t>Total NHS costs 75% PD - 50% PD</t>
  </si>
  <si>
    <t>Total NHS costs 50% PD - 25% PD</t>
  </si>
  <si>
    <t>Net savings Informal</t>
  </si>
  <si>
    <t>Total informal costs 75% PD - 50% PD</t>
  </si>
  <si>
    <t>Total informal costs 50% PD - 25% PD</t>
  </si>
  <si>
    <t>Total cost savings</t>
  </si>
  <si>
    <t>75% PD - 50% PD</t>
  </si>
  <si>
    <t>50% PD - 25% PD</t>
  </si>
  <si>
    <t>Cost per case avoided (£ saved per dementia case avoided)</t>
  </si>
  <si>
    <t>Δtotal costs 75% - 50% / Δ incident onsets</t>
  </si>
  <si>
    <t>Δtotal costs 50% - 25% / Δ incident onsets</t>
  </si>
  <si>
    <t>QALY impact</t>
  </si>
  <si>
    <t>Patient</t>
  </si>
  <si>
    <t xml:space="preserve">Caregiver </t>
  </si>
  <si>
    <t>QALYs gained per dementia case avoided</t>
  </si>
  <si>
    <t>Cases per 1k population</t>
  </si>
  <si>
    <t>calendar_year</t>
  </si>
  <si>
    <t>population_alive</t>
  </si>
  <si>
    <t>entrants</t>
  </si>
  <si>
    <t>deaths</t>
  </si>
  <si>
    <t>incident_onsets</t>
  </si>
  <si>
    <t>incidence_per_1000_alive</t>
  </si>
  <si>
    <t>total_qalys_patient</t>
  </si>
  <si>
    <t>total_qalys_caregiver</t>
  </si>
  <si>
    <t>total_qalys_total</t>
  </si>
  <si>
    <t>total_costs_nhs</t>
  </si>
  <si>
    <t>total_costs_informal</t>
  </si>
  <si>
    <t>total_costs_nhs_perspective</t>
  </si>
  <si>
    <t>total_costs_societal</t>
  </si>
  <si>
    <t>dementia_cases_total</t>
  </si>
  <si>
    <t>mean_age_alive</t>
  </si>
  <si>
    <t>mean_age_dementia</t>
  </si>
  <si>
    <t>stage_cognitively_normal</t>
  </si>
  <si>
    <t>stage_mild</t>
  </si>
  <si>
    <t>stage_moderate</t>
  </si>
  <si>
    <t>stage_severe</t>
  </si>
  <si>
    <t>stage_death</t>
  </si>
  <si>
    <t>living_home</t>
  </si>
  <si>
    <t>living_institution</t>
  </si>
  <si>
    <t>year_qalys_patient</t>
  </si>
  <si>
    <t>year_qalys_caregiver</t>
  </si>
  <si>
    <t>year_qalys_total</t>
  </si>
  <si>
    <t>year_costs_nhs</t>
  </si>
  <si>
    <t>year_costs_informal</t>
  </si>
  <si>
    <t>year_costs_societal</t>
  </si>
  <si>
    <t>Incident onsets (75% - 50% PD prevalence)</t>
  </si>
  <si>
    <t>Incident onsets (50% - 25% PD prevalence)</t>
  </si>
  <si>
    <t>Yearly QALYs (75% - 50% PD prevalence)</t>
  </si>
  <si>
    <t>Yearly QALYs (50% - 25% PD prevalence)</t>
  </si>
  <si>
    <t>Δtotal QALYs patient 75% - 50% / Δ incident onsets</t>
  </si>
  <si>
    <t>Δtotal QALYs patient 50% - 25% / Δ incident onsets</t>
  </si>
  <si>
    <t>25% Prevalence run</t>
  </si>
  <si>
    <t>Metric</t>
  </si>
  <si>
    <t>Mean</t>
  </si>
  <si>
    <t>Median</t>
  </si>
  <si>
    <t>Std_Dev</t>
  </si>
  <si>
    <t>Lower_95_CI</t>
  </si>
  <si>
    <t>Upper_95_CI</t>
  </si>
  <si>
    <t>CI_Width</t>
  </si>
  <si>
    <t>incident_onsets_total</t>
  </si>
  <si>
    <t>total_costs_all</t>
  </si>
  <si>
    <t>total_qalys_combined</t>
  </si>
  <si>
    <t>50% Prevalence run</t>
  </si>
  <si>
    <t>75% Prevalence run</t>
  </si>
  <si>
    <t>Coefficient_of_variation</t>
  </si>
  <si>
    <t>Model Validation</t>
  </si>
  <si>
    <t>% change</t>
  </si>
  <si>
    <t>CF (2024)</t>
  </si>
  <si>
    <t>Prince, M. et al. (2014)</t>
  </si>
  <si>
    <t>Wittenburg, R. et al. (2019)</t>
  </si>
  <si>
    <t>Matthews, F. E. et al. (2016)</t>
  </si>
  <si>
    <t>Dementia prevalence (mn)</t>
  </si>
  <si>
    <t>OUR MODEL</t>
  </si>
  <si>
    <t>total_deaths</t>
  </si>
  <si>
    <t>total_entrants</t>
  </si>
  <si>
    <t>parameter</t>
  </si>
  <si>
    <t>value_type</t>
  </si>
  <si>
    <t>replicate</t>
  </si>
  <si>
    <t>baseline</t>
  </si>
  <si>
    <t>onset_rr</t>
  </si>
  <si>
    <t>low</t>
  </si>
  <si>
    <t>high</t>
  </si>
  <si>
    <t>Parameter</t>
  </si>
  <si>
    <t>Low_Value</t>
  </si>
  <si>
    <t>High_Value</t>
  </si>
  <si>
    <t>Swing</t>
  </si>
  <si>
    <t>Swing_Pct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</si>
</sst>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44" fontId="0" fillId="0" borderId="0" xfId="2" applyFont="1"/>
    <xf numFmtId="4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43" fontId="0" fillId="0" borderId="0" xfId="1" applyFont="1"/>
    <xf numFmtId="0" fontId="0" fillId="0" borderId="0" xfId="2" applyNumberFormat="1" applyFont="1"/>
    <xf numFmtId="0" fontId="4" fillId="0" borderId="2" xfId="0" applyFont="1" applyBorder="1" applyAlignment="1">
      <alignment horizontal="center" vertical="top"/>
    </xf>
    <xf numFmtId="9" fontId="0" fillId="0" borderId="0" xfId="3" applyFont="1"/>
    <xf numFmtId="0" fontId="4" fillId="0" borderId="1" xfId="0" applyFont="1" applyBorder="1" applyAlignment="1">
      <alignment horizontal="center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Mild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'25%'!$A$2:$A$19</c15:sqref>
                  </c15:fullRef>
                </c:ext>
              </c:extLst>
              <c:f>'25%'!$A$3:$A$19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'25%'!$R$2:$R$19</c15:sqref>
                  </c15:fullRef>
                </c:ext>
              </c:extLst>
              <c:f>'25%'!$R$3:$R$19</c:f>
              <c:numCache>
                <c:formatCode>_-* #,##0_-;\-* #,##0_-;_-* "-"??_-;_-@_-</c:formatCode>
                <c:ptCount val="17"/>
                <c:pt idx="0">
                  <c:v>326967</c:v>
                </c:pt>
                <c:pt idx="1">
                  <c:v>287365</c:v>
                </c:pt>
                <c:pt idx="2">
                  <c:v>267465</c:v>
                </c:pt>
                <c:pt idx="3">
                  <c:v>258611</c:v>
                </c:pt>
                <c:pt idx="4">
                  <c:v>257312</c:v>
                </c:pt>
                <c:pt idx="5">
                  <c:v>259847</c:v>
                </c:pt>
                <c:pt idx="6">
                  <c:v>264382</c:v>
                </c:pt>
                <c:pt idx="7">
                  <c:v>270956</c:v>
                </c:pt>
                <c:pt idx="8">
                  <c:v>278852</c:v>
                </c:pt>
                <c:pt idx="9">
                  <c:v>286977</c:v>
                </c:pt>
                <c:pt idx="10">
                  <c:v>295404</c:v>
                </c:pt>
                <c:pt idx="11">
                  <c:v>305018</c:v>
                </c:pt>
                <c:pt idx="12">
                  <c:v>313008</c:v>
                </c:pt>
                <c:pt idx="13">
                  <c:v>326434</c:v>
                </c:pt>
                <c:pt idx="14">
                  <c:v>334936</c:v>
                </c:pt>
                <c:pt idx="15">
                  <c:v>343572</c:v>
                </c:pt>
                <c:pt idx="16">
                  <c:v>351774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B-4D60-B60A-CAE3D53B91C8}"/>
            </c:ext>
          </c:extLst>
        </c:ser>
        <c:ser>
          <c:idx val="1"/>
          <c:order val="1"/>
          <c:tx>
            <c:v>Moderate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'25%'!$A$2:$A$19</c15:sqref>
                  </c15:fullRef>
                </c:ext>
              </c:extLst>
              <c:f>'25%'!$A$3:$A$19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'25%'!$S$2:$S$19</c15:sqref>
                  </c15:fullRef>
                </c:ext>
              </c:extLst>
              <c:f>'25%'!$S$3:$S$19</c:f>
              <c:numCache>
                <c:formatCode>_-* #,##0_-;\-* #,##0_-;_-* "-"??_-;_-@_-</c:formatCode>
                <c:ptCount val="17"/>
                <c:pt idx="0">
                  <c:v>315087</c:v>
                </c:pt>
                <c:pt idx="1">
                  <c:v>302457</c:v>
                </c:pt>
                <c:pt idx="2">
                  <c:v>282885</c:v>
                </c:pt>
                <c:pt idx="3">
                  <c:v>268013</c:v>
                </c:pt>
                <c:pt idx="4">
                  <c:v>258699</c:v>
                </c:pt>
                <c:pt idx="5">
                  <c:v>255954</c:v>
                </c:pt>
                <c:pt idx="6">
                  <c:v>257940</c:v>
                </c:pt>
                <c:pt idx="7">
                  <c:v>263594</c:v>
                </c:pt>
                <c:pt idx="8">
                  <c:v>272499</c:v>
                </c:pt>
                <c:pt idx="9">
                  <c:v>282897</c:v>
                </c:pt>
                <c:pt idx="10">
                  <c:v>294279</c:v>
                </c:pt>
                <c:pt idx="11">
                  <c:v>306981</c:v>
                </c:pt>
                <c:pt idx="12">
                  <c:v>321092</c:v>
                </c:pt>
                <c:pt idx="13">
                  <c:v>336276</c:v>
                </c:pt>
                <c:pt idx="14">
                  <c:v>350828</c:v>
                </c:pt>
                <c:pt idx="15">
                  <c:v>364326</c:v>
                </c:pt>
                <c:pt idx="16">
                  <c:v>378415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B-4D60-B60A-CAE3D53B91C8}"/>
            </c:ext>
          </c:extLst>
        </c:ser>
        <c:ser>
          <c:idx val="2"/>
          <c:order val="2"/>
          <c:tx>
            <c:v>Severe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'25%'!$A$2:$A$19</c15:sqref>
                  </c15:fullRef>
                </c:ext>
              </c:extLst>
              <c:f>'25%'!$A$3:$A$19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'25%'!$T$2:$T$19</c15:sqref>
                  </c15:fullRef>
                </c:ext>
              </c:extLst>
              <c:f>'25%'!$T$3:$T$19</c:f>
              <c:numCache>
                <c:formatCode>_-* #,##0_-;\-* #,##0_-;_-* "-"??_-;_-@_-</c:formatCode>
                <c:ptCount val="17"/>
                <c:pt idx="0">
                  <c:v>193971</c:v>
                </c:pt>
                <c:pt idx="1">
                  <c:v>263420</c:v>
                </c:pt>
                <c:pt idx="2">
                  <c:v>308662</c:v>
                </c:pt>
                <c:pt idx="3">
                  <c:v>331118</c:v>
                </c:pt>
                <c:pt idx="4">
                  <c:v>341452</c:v>
                </c:pt>
                <c:pt idx="5">
                  <c:v>344752</c:v>
                </c:pt>
                <c:pt idx="6">
                  <c:v>345382</c:v>
                </c:pt>
                <c:pt idx="7">
                  <c:v>345790</c:v>
                </c:pt>
                <c:pt idx="8">
                  <c:v>347263</c:v>
                </c:pt>
                <c:pt idx="9">
                  <c:v>351478</c:v>
                </c:pt>
                <c:pt idx="10">
                  <c:v>358388</c:v>
                </c:pt>
                <c:pt idx="11">
                  <c:v>366966</c:v>
                </c:pt>
                <c:pt idx="12">
                  <c:v>377220</c:v>
                </c:pt>
                <c:pt idx="13">
                  <c:v>393139</c:v>
                </c:pt>
                <c:pt idx="14">
                  <c:v>405178</c:v>
                </c:pt>
                <c:pt idx="15">
                  <c:v>418815</c:v>
                </c:pt>
                <c:pt idx="16">
                  <c:v>433464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B-4D60-B60A-CAE3D53B9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4103343"/>
        <c:axId val="284104303"/>
      </c:barChart>
      <c:catAx>
        <c:axId val="28410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04303"/>
        <c:crosses val="autoZero"/>
        <c:auto val="1"/>
        <c:lblAlgn val="ctr"/>
        <c:lblOffset val="100"/>
        <c:noMultiLvlLbl val="0"/>
      </c:catAx>
      <c:valAx>
        <c:axId val="28410430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Mild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'50%'!$A$2:$A$19</c15:sqref>
                  </c15:fullRef>
                </c:ext>
              </c:extLst>
              <c:f>'50%'!$A$3:$A$19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'50%'!$R$2:$R$19</c15:sqref>
                  </c15:fullRef>
                </c:ext>
              </c:extLst>
              <c:f>'50%'!$R$3:$R$19</c:f>
              <c:numCache>
                <c:formatCode>_-* #,##0_-;\-* #,##0_-;_-* "-"??_-;_-@_-</c:formatCode>
                <c:ptCount val="17"/>
                <c:pt idx="0">
                  <c:v>336552</c:v>
                </c:pt>
                <c:pt idx="1">
                  <c:v>302751</c:v>
                </c:pt>
                <c:pt idx="2">
                  <c:v>286033</c:v>
                </c:pt>
                <c:pt idx="3">
                  <c:v>279925</c:v>
                </c:pt>
                <c:pt idx="4">
                  <c:v>280248</c:v>
                </c:pt>
                <c:pt idx="5">
                  <c:v>284269</c:v>
                </c:pt>
                <c:pt idx="6">
                  <c:v>290026</c:v>
                </c:pt>
                <c:pt idx="7">
                  <c:v>296547</c:v>
                </c:pt>
                <c:pt idx="8">
                  <c:v>304872</c:v>
                </c:pt>
                <c:pt idx="9">
                  <c:v>314130</c:v>
                </c:pt>
                <c:pt idx="10">
                  <c:v>323203</c:v>
                </c:pt>
                <c:pt idx="11">
                  <c:v>333498</c:v>
                </c:pt>
                <c:pt idx="12">
                  <c:v>342384</c:v>
                </c:pt>
                <c:pt idx="13">
                  <c:v>356907</c:v>
                </c:pt>
                <c:pt idx="14">
                  <c:v>366680</c:v>
                </c:pt>
                <c:pt idx="15">
                  <c:v>375933</c:v>
                </c:pt>
                <c:pt idx="16">
                  <c:v>382830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7-4893-9703-53A9164EE08F}"/>
            </c:ext>
          </c:extLst>
        </c:ser>
        <c:ser>
          <c:idx val="1"/>
          <c:order val="1"/>
          <c:tx>
            <c:v>Moderate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'50%'!$A$2:$A$19</c15:sqref>
                  </c15:fullRef>
                </c:ext>
              </c:extLst>
              <c:f>'50%'!$A$3:$A$19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'50%'!$S$2:$S$19</c15:sqref>
                  </c15:fullRef>
                </c:ext>
              </c:extLst>
              <c:f>'50%'!$S$3:$S$19</c:f>
              <c:numCache>
                <c:formatCode>_-* #,##0_-;\-* #,##0_-;_-* "-"??_-;_-@_-</c:formatCode>
                <c:ptCount val="17"/>
                <c:pt idx="0">
                  <c:v>315882</c:v>
                </c:pt>
                <c:pt idx="1">
                  <c:v>306866</c:v>
                </c:pt>
                <c:pt idx="2">
                  <c:v>291594</c:v>
                </c:pt>
                <c:pt idx="3">
                  <c:v>280461</c:v>
                </c:pt>
                <c:pt idx="4">
                  <c:v>274760</c:v>
                </c:pt>
                <c:pt idx="5">
                  <c:v>274061</c:v>
                </c:pt>
                <c:pt idx="6">
                  <c:v>278459</c:v>
                </c:pt>
                <c:pt idx="7">
                  <c:v>285881</c:v>
                </c:pt>
                <c:pt idx="8">
                  <c:v>295432</c:v>
                </c:pt>
                <c:pt idx="9">
                  <c:v>307310</c:v>
                </c:pt>
                <c:pt idx="10">
                  <c:v>320362</c:v>
                </c:pt>
                <c:pt idx="11">
                  <c:v>333130</c:v>
                </c:pt>
                <c:pt idx="12">
                  <c:v>348716</c:v>
                </c:pt>
                <c:pt idx="13">
                  <c:v>365716</c:v>
                </c:pt>
                <c:pt idx="14">
                  <c:v>381205</c:v>
                </c:pt>
                <c:pt idx="15">
                  <c:v>396356</c:v>
                </c:pt>
                <c:pt idx="16">
                  <c:v>412669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7-4893-9703-53A9164EE08F}"/>
            </c:ext>
          </c:extLst>
        </c:ser>
        <c:ser>
          <c:idx val="2"/>
          <c:order val="2"/>
          <c:tx>
            <c:v>Severe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'50%'!$A$2:$A$19</c15:sqref>
                  </c15:fullRef>
                </c:ext>
              </c:extLst>
              <c:f>'50%'!$A$3:$A$19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'50%'!$T$2:$T$19</c15:sqref>
                  </c15:fullRef>
                </c:ext>
              </c:extLst>
              <c:f>'50%'!$T$3:$T$19</c:f>
              <c:numCache>
                <c:formatCode>_-* #,##0_-;\-* #,##0_-;_-* "-"??_-;_-@_-</c:formatCode>
                <c:ptCount val="17"/>
                <c:pt idx="0">
                  <c:v>193628</c:v>
                </c:pt>
                <c:pt idx="1">
                  <c:v>262942</c:v>
                </c:pt>
                <c:pt idx="2">
                  <c:v>309128</c:v>
                </c:pt>
                <c:pt idx="3">
                  <c:v>334918</c:v>
                </c:pt>
                <c:pt idx="4">
                  <c:v>348830</c:v>
                </c:pt>
                <c:pt idx="5">
                  <c:v>355968</c:v>
                </c:pt>
                <c:pt idx="6">
                  <c:v>359425</c:v>
                </c:pt>
                <c:pt idx="7">
                  <c:v>362852</c:v>
                </c:pt>
                <c:pt idx="8">
                  <c:v>368222</c:v>
                </c:pt>
                <c:pt idx="9">
                  <c:v>374682</c:v>
                </c:pt>
                <c:pt idx="10">
                  <c:v>383140</c:v>
                </c:pt>
                <c:pt idx="11">
                  <c:v>393940</c:v>
                </c:pt>
                <c:pt idx="12">
                  <c:v>406282</c:v>
                </c:pt>
                <c:pt idx="13">
                  <c:v>423738</c:v>
                </c:pt>
                <c:pt idx="14">
                  <c:v>437451</c:v>
                </c:pt>
                <c:pt idx="15">
                  <c:v>453116</c:v>
                </c:pt>
                <c:pt idx="16">
                  <c:v>468553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7-4893-9703-53A9164EE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1581439"/>
        <c:axId val="361581919"/>
      </c:barChart>
      <c:catAx>
        <c:axId val="36158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81919"/>
        <c:crosses val="autoZero"/>
        <c:auto val="1"/>
        <c:lblAlgn val="ctr"/>
        <c:lblOffset val="100"/>
        <c:noMultiLvlLbl val="0"/>
      </c:catAx>
      <c:valAx>
        <c:axId val="3615819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8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Mild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'75%'!$A$2:$A$19</c15:sqref>
                  </c15:fullRef>
                </c:ext>
              </c:extLst>
              <c:f>'75%'!$A$3:$A$19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'75%'!$S$2:$S$19</c15:sqref>
                  </c15:fullRef>
                </c:ext>
              </c:extLst>
              <c:f>'75%'!$S$3:$S$19</c:f>
              <c:numCache>
                <c:formatCode>_-* #,##0_-;\-* #,##0_-;_-* "-"??_-;_-@_-</c:formatCode>
                <c:ptCount val="17"/>
                <c:pt idx="0">
                  <c:v>344907</c:v>
                </c:pt>
                <c:pt idx="1">
                  <c:v>317577</c:v>
                </c:pt>
                <c:pt idx="2">
                  <c:v>305083</c:v>
                </c:pt>
                <c:pt idx="3">
                  <c:v>301902</c:v>
                </c:pt>
                <c:pt idx="4">
                  <c:v>302951</c:v>
                </c:pt>
                <c:pt idx="5">
                  <c:v>308143</c:v>
                </c:pt>
                <c:pt idx="6">
                  <c:v>314612</c:v>
                </c:pt>
                <c:pt idx="7">
                  <c:v>322906</c:v>
                </c:pt>
                <c:pt idx="8">
                  <c:v>331840</c:v>
                </c:pt>
                <c:pt idx="9">
                  <c:v>342079</c:v>
                </c:pt>
                <c:pt idx="10">
                  <c:v>351793</c:v>
                </c:pt>
                <c:pt idx="11">
                  <c:v>362501</c:v>
                </c:pt>
                <c:pt idx="12">
                  <c:v>373138</c:v>
                </c:pt>
                <c:pt idx="13">
                  <c:v>387451</c:v>
                </c:pt>
                <c:pt idx="14">
                  <c:v>396840</c:v>
                </c:pt>
                <c:pt idx="15">
                  <c:v>407100</c:v>
                </c:pt>
                <c:pt idx="16">
                  <c:v>415113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9-418D-AD50-64105FFF3947}"/>
            </c:ext>
          </c:extLst>
        </c:ser>
        <c:ser>
          <c:idx val="1"/>
          <c:order val="1"/>
          <c:tx>
            <c:v>Moderate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'75%'!$A$2:$A$19</c15:sqref>
                  </c15:fullRef>
                </c:ext>
              </c:extLst>
              <c:f>'75%'!$A$3:$A$19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'75%'!$T$2:$T$19</c15:sqref>
                  </c15:fullRef>
                </c:ext>
              </c:extLst>
              <c:f>'75%'!$T$3:$T$19</c:f>
              <c:numCache>
                <c:formatCode>_-* #,##0_-;\-* #,##0_-;_-* "-"??_-;_-@_-</c:formatCode>
                <c:ptCount val="17"/>
                <c:pt idx="0">
                  <c:v>315859</c:v>
                </c:pt>
                <c:pt idx="1">
                  <c:v>309318</c:v>
                </c:pt>
                <c:pt idx="2">
                  <c:v>298605</c:v>
                </c:pt>
                <c:pt idx="3">
                  <c:v>290833</c:v>
                </c:pt>
                <c:pt idx="4">
                  <c:v>288722</c:v>
                </c:pt>
                <c:pt idx="5">
                  <c:v>291135</c:v>
                </c:pt>
                <c:pt idx="6">
                  <c:v>297483</c:v>
                </c:pt>
                <c:pt idx="7">
                  <c:v>306859</c:v>
                </c:pt>
                <c:pt idx="8">
                  <c:v>318313</c:v>
                </c:pt>
                <c:pt idx="9">
                  <c:v>331597</c:v>
                </c:pt>
                <c:pt idx="10">
                  <c:v>346538</c:v>
                </c:pt>
                <c:pt idx="11">
                  <c:v>361912</c:v>
                </c:pt>
                <c:pt idx="12">
                  <c:v>377387</c:v>
                </c:pt>
                <c:pt idx="13">
                  <c:v>396823</c:v>
                </c:pt>
                <c:pt idx="14">
                  <c:v>412525</c:v>
                </c:pt>
                <c:pt idx="15">
                  <c:v>428385</c:v>
                </c:pt>
                <c:pt idx="16">
                  <c:v>444987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9-418D-AD50-64105FFF3947}"/>
            </c:ext>
          </c:extLst>
        </c:ser>
        <c:ser>
          <c:idx val="2"/>
          <c:order val="2"/>
          <c:tx>
            <c:v>Severe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'75%'!$A$2:$A$19</c15:sqref>
                  </c15:fullRef>
                </c:ext>
              </c:extLst>
              <c:f>'75%'!$A$3:$A$19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'75%'!$U$2:$U$19</c15:sqref>
                  </c15:fullRef>
                </c:ext>
              </c:extLst>
              <c:f>'75%'!$U$3:$U$19</c:f>
              <c:numCache>
                <c:formatCode>_-* #,##0_-;\-* #,##0_-;_-* "-"??_-;_-@_-</c:formatCode>
                <c:ptCount val="17"/>
                <c:pt idx="0">
                  <c:v>194027</c:v>
                </c:pt>
                <c:pt idx="1">
                  <c:v>263902</c:v>
                </c:pt>
                <c:pt idx="2">
                  <c:v>310727</c:v>
                </c:pt>
                <c:pt idx="3">
                  <c:v>338946</c:v>
                </c:pt>
                <c:pt idx="4">
                  <c:v>356124</c:v>
                </c:pt>
                <c:pt idx="5">
                  <c:v>366175</c:v>
                </c:pt>
                <c:pt idx="6">
                  <c:v>373774</c:v>
                </c:pt>
                <c:pt idx="7">
                  <c:v>380304</c:v>
                </c:pt>
                <c:pt idx="8">
                  <c:v>387898</c:v>
                </c:pt>
                <c:pt idx="9">
                  <c:v>397496</c:v>
                </c:pt>
                <c:pt idx="10">
                  <c:v>408723</c:v>
                </c:pt>
                <c:pt idx="11">
                  <c:v>421725</c:v>
                </c:pt>
                <c:pt idx="12">
                  <c:v>436403</c:v>
                </c:pt>
                <c:pt idx="13">
                  <c:v>455815</c:v>
                </c:pt>
                <c:pt idx="14">
                  <c:v>472706</c:v>
                </c:pt>
                <c:pt idx="15">
                  <c:v>489312</c:v>
                </c:pt>
                <c:pt idx="16">
                  <c:v>505970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09-418D-AD50-64105FFF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0860111"/>
        <c:axId val="430859151"/>
      </c:barChart>
      <c:catAx>
        <c:axId val="43086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59151"/>
        <c:crosses val="autoZero"/>
        <c:auto val="1"/>
        <c:lblAlgn val="ctr"/>
        <c:lblOffset val="100"/>
        <c:noMultiLvlLbl val="0"/>
      </c:catAx>
      <c:valAx>
        <c:axId val="4308591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6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1021291</xdr:colOff>
      <xdr:row>20</xdr:row>
      <xdr:rowOff>178857</xdr:rowOff>
    </xdr:from>
    <xdr:to>
      <xdr:col>21</xdr:col>
      <xdr:colOff>492124</xdr:colOff>
      <xdr:row>35</xdr:row>
      <xdr:rowOff>64557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AA315-DBE4-EA4A-70D4-C84853D4C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777874</xdr:colOff>
      <xdr:row>20</xdr:row>
      <xdr:rowOff>62441</xdr:rowOff>
    </xdr:from>
    <xdr:to>
      <xdr:col>22</xdr:col>
      <xdr:colOff>518582</xdr:colOff>
      <xdr:row>38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0E99B-D2A0-AED8-3C2E-7ED42D44A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676274</xdr:colOff>
      <xdr:row>20</xdr:row>
      <xdr:rowOff>166686</xdr:rowOff>
    </xdr:from>
    <xdr:to>
      <xdr:col>21</xdr:col>
      <xdr:colOff>628650</xdr:colOff>
      <xdr:row>39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5AB04-89C5-DAD4-0D8D-78F13E24C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22E2-69CC-42C5-8A38-6CE4E7004D8A}">
  <dimension ref="A1:AD22"/>
  <sheetViews>
    <sheetView zoomScaleNormal="100" workbookViewId="0">
      <pane xSplit="1" topLeftCell="B1" activePane="topRight" state="frozen"/>
      <selection pane="topRight" activeCell="P36" sqref="P36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4" width="11.140625" bestFit="1" customWidth="1"/>
    <col min="5" max="5" width="15.42578125" bestFit="1" customWidth="1"/>
    <col min="6" max="6" width="24.28515625" bestFit="1" customWidth="1"/>
    <col min="7" max="7" width="18.42578125" bestFit="1" customWidth="1"/>
    <col min="8" max="8" width="20.140625" bestFit="1" customWidth="1"/>
    <col min="9" max="9" width="16" bestFit="1" customWidth="1"/>
    <col min="10" max="11" width="21.28515625" bestFit="1" customWidth="1"/>
    <col min="12" max="12" width="26.7109375" bestFit="1" customWidth="1"/>
    <col min="13" max="13" width="21.28515625" bestFit="1" customWidth="1"/>
    <col min="14" max="14" width="20.7109375" bestFit="1" customWidth="1"/>
    <col min="15" max="15" width="15.5703125" bestFit="1" customWidth="1"/>
    <col min="16" max="16" width="20" bestFit="1" customWidth="1"/>
    <col min="17" max="17" width="24.28515625" bestFit="1" customWidth="1"/>
    <col min="18" max="18" width="11.140625" bestFit="1" customWidth="1"/>
    <col min="19" max="19" width="15.5703125" bestFit="1" customWidth="1"/>
    <col min="20" max="20" width="12.85546875" bestFit="1" customWidth="1"/>
    <col min="21" max="21" width="12.7109375" bestFit="1" customWidth="1"/>
    <col min="22" max="22" width="13.85546875" bestFit="1" customWidth="1"/>
    <col min="23" max="23" width="16.28515625" bestFit="1" customWidth="1"/>
    <col min="24" max="24" width="18.140625" bestFit="1" customWidth="1"/>
    <col min="25" max="25" width="19.85546875" bestFit="1" customWidth="1"/>
    <col min="26" max="26" width="15.7109375" bestFit="1" customWidth="1"/>
    <col min="27" max="28" width="20.140625" bestFit="1" customWidth="1"/>
    <col min="29" max="29" width="21.28515625" bestFit="1" customWidth="1"/>
    <col min="30" max="30" width="12.140625" bestFit="1" customWidth="1"/>
  </cols>
  <sheetData>
    <row r="1" spans="1:30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</row>
    <row r="2" spans="1:30" x14ac:dyDescent="0.25">
      <c r="A2">
        <v>2023</v>
      </c>
      <c r="B2" s="7">
        <v>10787479</v>
      </c>
      <c r="C2" s="7">
        <v>700000</v>
      </c>
      <c r="D2" s="7">
        <v>490000</v>
      </c>
      <c r="E2" s="7">
        <v>80000</v>
      </c>
      <c r="F2" s="11">
        <v>7.4160051667308</v>
      </c>
      <c r="G2" s="15">
        <v>0</v>
      </c>
      <c r="H2" s="15">
        <v>0</v>
      </c>
      <c r="I2" s="15">
        <v>0</v>
      </c>
      <c r="J2" s="9">
        <v>0</v>
      </c>
      <c r="K2" s="9">
        <v>0</v>
      </c>
      <c r="L2" s="9">
        <v>0</v>
      </c>
      <c r="M2" s="9">
        <v>0</v>
      </c>
      <c r="N2" s="7">
        <v>802386</v>
      </c>
      <c r="O2" s="13">
        <v>80.979452289084406</v>
      </c>
      <c r="P2" s="13">
        <v>87.567467528097453</v>
      </c>
      <c r="Q2" s="7">
        <v>9985093</v>
      </c>
      <c r="R2" s="7">
        <v>398969</v>
      </c>
      <c r="S2" s="7">
        <v>299115</v>
      </c>
      <c r="T2" s="7">
        <v>104302</v>
      </c>
      <c r="U2" s="7">
        <v>0</v>
      </c>
      <c r="V2" s="7">
        <v>10787479</v>
      </c>
      <c r="W2" s="15">
        <v>0</v>
      </c>
      <c r="X2" s="15">
        <v>0</v>
      </c>
      <c r="Y2" s="15">
        <v>0</v>
      </c>
      <c r="Z2" s="15">
        <v>0</v>
      </c>
      <c r="AA2" s="9">
        <v>0</v>
      </c>
      <c r="AB2" s="9">
        <v>0</v>
      </c>
      <c r="AC2" s="9">
        <v>0</v>
      </c>
    </row>
    <row r="3" spans="1:30" x14ac:dyDescent="0.25">
      <c r="A3">
        <v>2024</v>
      </c>
      <c r="B3" s="7">
        <v>10999650</v>
      </c>
      <c r="C3" s="7">
        <v>704136</v>
      </c>
      <c r="D3" s="7">
        <v>493478</v>
      </c>
      <c r="E3" s="7">
        <v>89927</v>
      </c>
      <c r="F3" s="11">
        <v>8.1754419458800971</v>
      </c>
      <c r="G3" s="15">
        <v>7978152.1176776411</v>
      </c>
      <c r="H3" s="15">
        <v>627985.80130521546</v>
      </c>
      <c r="I3" s="15">
        <v>8606137.918982856</v>
      </c>
      <c r="J3" s="9">
        <v>8327170225.9323645</v>
      </c>
      <c r="K3" s="9">
        <v>17493522076.590351</v>
      </c>
      <c r="L3" s="9">
        <v>8327170225.9323645</v>
      </c>
      <c r="M3" s="9">
        <v>25820692302.52272</v>
      </c>
      <c r="N3" s="7">
        <v>819061</v>
      </c>
      <c r="O3" s="13">
        <v>81.515765501629602</v>
      </c>
      <c r="P3" s="13">
        <v>87.975036047376207</v>
      </c>
      <c r="Q3" s="7">
        <v>10180589</v>
      </c>
      <c r="R3" s="7">
        <v>326967</v>
      </c>
      <c r="S3" s="7">
        <v>315087</v>
      </c>
      <c r="T3" s="7">
        <v>193971</v>
      </c>
      <c r="U3" s="7">
        <v>475001</v>
      </c>
      <c r="V3" s="7">
        <v>10901571</v>
      </c>
      <c r="W3" s="15">
        <v>98079</v>
      </c>
      <c r="X3" s="15">
        <v>7978152.1176776411</v>
      </c>
      <c r="Y3" s="15">
        <v>627985.80130521546</v>
      </c>
      <c r="Z3" s="15">
        <v>8606137.918982856</v>
      </c>
      <c r="AA3" s="9">
        <v>8327170225.9323645</v>
      </c>
      <c r="AB3" s="9">
        <v>17493522076.590351</v>
      </c>
      <c r="AC3" s="9">
        <v>25820692302.52272</v>
      </c>
      <c r="AD3" s="9">
        <f>AC3/N3</f>
        <v>31524.748831311368</v>
      </c>
    </row>
    <row r="4" spans="1:30" x14ac:dyDescent="0.25">
      <c r="A4">
        <v>2025</v>
      </c>
      <c r="B4" s="7">
        <v>11193863</v>
      </c>
      <c r="C4" s="7">
        <v>708297</v>
      </c>
      <c r="D4" s="7">
        <v>516817</v>
      </c>
      <c r="E4" s="7">
        <v>93521</v>
      </c>
      <c r="F4" s="11">
        <v>8.3546671957661083</v>
      </c>
      <c r="G4" s="15">
        <v>15796085.218577139</v>
      </c>
      <c r="H4" s="15">
        <v>1178070.724469292</v>
      </c>
      <c r="I4" s="15">
        <v>16974155.943046428</v>
      </c>
      <c r="J4" s="9">
        <v>19087516932.952751</v>
      </c>
      <c r="K4" s="9">
        <v>33355691920.808361</v>
      </c>
      <c r="L4" s="9">
        <v>19087516932.952751</v>
      </c>
      <c r="M4" s="9">
        <v>52443208853.761108</v>
      </c>
      <c r="N4" s="7">
        <v>820669</v>
      </c>
      <c r="O4" s="13">
        <v>82.014029562448641</v>
      </c>
      <c r="P4" s="13">
        <v>88.326707844453736</v>
      </c>
      <c r="Q4" s="7">
        <v>10373194</v>
      </c>
      <c r="R4" s="7">
        <v>287365</v>
      </c>
      <c r="S4" s="7">
        <v>302457</v>
      </c>
      <c r="T4" s="7">
        <v>263420</v>
      </c>
      <c r="U4" s="7">
        <v>973476</v>
      </c>
      <c r="V4" s="7">
        <v>11017151</v>
      </c>
      <c r="W4" s="15">
        <v>176712</v>
      </c>
      <c r="X4" s="15">
        <v>7817933.1008994943</v>
      </c>
      <c r="Y4" s="15">
        <v>550084.92316407629</v>
      </c>
      <c r="Z4" s="15">
        <v>8368018.0240635704</v>
      </c>
      <c r="AA4" s="9">
        <v>10760346707.02038</v>
      </c>
      <c r="AB4" s="9">
        <v>15862169844.21801</v>
      </c>
      <c r="AC4" s="9">
        <v>26622516551.238392</v>
      </c>
    </row>
    <row r="5" spans="1:30" x14ac:dyDescent="0.25">
      <c r="A5">
        <v>2026</v>
      </c>
      <c r="B5" s="7">
        <v>11366854</v>
      </c>
      <c r="C5" s="7">
        <v>712482</v>
      </c>
      <c r="D5" s="7">
        <v>543200</v>
      </c>
      <c r="E5" s="7">
        <v>96848</v>
      </c>
      <c r="F5" s="11">
        <v>8.5202114850775761</v>
      </c>
      <c r="G5" s="15">
        <v>23450426.529294301</v>
      </c>
      <c r="H5" s="15">
        <v>1661264.3707009731</v>
      </c>
      <c r="I5" s="15">
        <v>25111690.899995271</v>
      </c>
      <c r="J5" s="9">
        <v>31752058045.295132</v>
      </c>
      <c r="K5" s="9">
        <v>47347939865.460167</v>
      </c>
      <c r="L5" s="9">
        <v>31752058045.295132</v>
      </c>
      <c r="M5" s="9">
        <v>79099997910.75531</v>
      </c>
      <c r="N5" s="7">
        <v>812023</v>
      </c>
      <c r="O5" s="13">
        <v>82.481882849907279</v>
      </c>
      <c r="P5" s="13">
        <v>88.621279200219703</v>
      </c>
      <c r="Q5" s="7">
        <v>10554831</v>
      </c>
      <c r="R5" s="7">
        <v>267465</v>
      </c>
      <c r="S5" s="7">
        <v>282885</v>
      </c>
      <c r="T5" s="7">
        <v>308662</v>
      </c>
      <c r="U5" s="7">
        <v>1498551</v>
      </c>
      <c r="V5" s="7">
        <v>11134832</v>
      </c>
      <c r="W5" s="15">
        <v>232022</v>
      </c>
      <c r="X5" s="15">
        <v>7654341.3107171645</v>
      </c>
      <c r="Y5" s="15">
        <v>483193.64623168111</v>
      </c>
      <c r="Z5" s="15">
        <v>8137534.9569488466</v>
      </c>
      <c r="AA5" s="9">
        <v>12664541112.342381</v>
      </c>
      <c r="AB5" s="9">
        <v>13992247944.65181</v>
      </c>
      <c r="AC5" s="9">
        <v>26656789056.994202</v>
      </c>
    </row>
    <row r="6" spans="1:30" x14ac:dyDescent="0.25">
      <c r="A6">
        <v>2027</v>
      </c>
      <c r="B6" s="7">
        <v>11523013</v>
      </c>
      <c r="C6" s="7">
        <v>716692</v>
      </c>
      <c r="D6" s="7">
        <v>564869</v>
      </c>
      <c r="E6" s="7">
        <v>100015</v>
      </c>
      <c r="F6" s="11">
        <v>8.6795875349615592</v>
      </c>
      <c r="G6" s="15">
        <v>30937454.723481629</v>
      </c>
      <c r="H6" s="15">
        <v>2090715.500070547</v>
      </c>
      <c r="I6" s="15">
        <v>33028170.223552171</v>
      </c>
      <c r="J6" s="9">
        <v>45564808294.126579</v>
      </c>
      <c r="K6" s="9">
        <v>59651271375.304649</v>
      </c>
      <c r="L6" s="9">
        <v>45564808294.126579</v>
      </c>
      <c r="M6" s="9">
        <v>105216079669.4312</v>
      </c>
      <c r="N6" s="7">
        <v>797454</v>
      </c>
      <c r="O6" s="13">
        <v>82.925729060619815</v>
      </c>
      <c r="P6" s="13">
        <v>88.871662816914835</v>
      </c>
      <c r="Q6" s="7">
        <v>10725559</v>
      </c>
      <c r="R6" s="7">
        <v>258611</v>
      </c>
      <c r="S6" s="7">
        <v>268013</v>
      </c>
      <c r="T6" s="7">
        <v>331118</v>
      </c>
      <c r="U6" s="7">
        <v>2045785</v>
      </c>
      <c r="V6" s="7">
        <v>11256498</v>
      </c>
      <c r="W6" s="15">
        <v>266515</v>
      </c>
      <c r="X6" s="15">
        <v>7487028.1941873282</v>
      </c>
      <c r="Y6" s="15">
        <v>429451.1293695739</v>
      </c>
      <c r="Z6" s="15">
        <v>7916479.3235569019</v>
      </c>
      <c r="AA6" s="9">
        <v>13812750248.83145</v>
      </c>
      <c r="AB6" s="9">
        <v>12303331509.844469</v>
      </c>
      <c r="AC6" s="9">
        <v>26116081758.675919</v>
      </c>
    </row>
    <row r="7" spans="1:30" x14ac:dyDescent="0.25">
      <c r="A7">
        <v>2028</v>
      </c>
      <c r="B7" s="7">
        <v>11675456</v>
      </c>
      <c r="C7" s="7">
        <v>720927</v>
      </c>
      <c r="D7" s="7">
        <v>573190</v>
      </c>
      <c r="E7" s="7">
        <v>103905</v>
      </c>
      <c r="F7" s="11">
        <v>8.8994382746164256</v>
      </c>
      <c r="G7" s="15">
        <v>38255910.2795927</v>
      </c>
      <c r="H7" s="15">
        <v>2479332.0454137358</v>
      </c>
      <c r="I7" s="15">
        <v>40735242.32500644</v>
      </c>
      <c r="J7" s="9">
        <v>59855957053.480843</v>
      </c>
      <c r="K7" s="9">
        <v>70572594825.371597</v>
      </c>
      <c r="L7" s="9">
        <v>59855957053.480843</v>
      </c>
      <c r="M7" s="9">
        <v>130428551878.8524</v>
      </c>
      <c r="N7" s="7">
        <v>784582</v>
      </c>
      <c r="O7" s="13">
        <v>83.361713067138453</v>
      </c>
      <c r="P7" s="13">
        <v>89.079383671815052</v>
      </c>
      <c r="Q7" s="7">
        <v>10890874</v>
      </c>
      <c r="R7" s="7">
        <v>257312</v>
      </c>
      <c r="S7" s="7">
        <v>258699</v>
      </c>
      <c r="T7" s="7">
        <v>341452</v>
      </c>
      <c r="U7" s="7">
        <v>2601676</v>
      </c>
      <c r="V7" s="7">
        <v>11389320</v>
      </c>
      <c r="W7" s="15">
        <v>286136</v>
      </c>
      <c r="X7" s="15">
        <v>7318455.5561110713</v>
      </c>
      <c r="Y7" s="15">
        <v>388616.5453431895</v>
      </c>
      <c r="Z7" s="15">
        <v>7707072.1014542608</v>
      </c>
      <c r="AA7" s="9">
        <v>14291148759.354259</v>
      </c>
      <c r="AB7" s="9">
        <v>10921323450.06695</v>
      </c>
      <c r="AC7" s="9">
        <v>25212472209.421219</v>
      </c>
    </row>
    <row r="8" spans="1:30" x14ac:dyDescent="0.25">
      <c r="A8">
        <v>2029</v>
      </c>
      <c r="B8" s="7">
        <v>11821714</v>
      </c>
      <c r="C8" s="7">
        <v>725187</v>
      </c>
      <c r="D8" s="7">
        <v>583559</v>
      </c>
      <c r="E8" s="7">
        <v>107130</v>
      </c>
      <c r="F8" s="11">
        <v>9.0621376900168631</v>
      </c>
      <c r="G8" s="15">
        <v>45406914.850976244</v>
      </c>
      <c r="H8" s="15">
        <v>2838752.9828249589</v>
      </c>
      <c r="I8" s="15">
        <v>48245667.833801202</v>
      </c>
      <c r="J8" s="9">
        <v>74176863082.732635</v>
      </c>
      <c r="K8" s="9">
        <v>80475671227.129578</v>
      </c>
      <c r="L8" s="9">
        <v>74176863082.732635</v>
      </c>
      <c r="M8" s="9">
        <v>154652534309.86221</v>
      </c>
      <c r="N8" s="7">
        <v>775496</v>
      </c>
      <c r="O8" s="13">
        <v>83.784676147638152</v>
      </c>
      <c r="P8" s="13">
        <v>89.288518573919148</v>
      </c>
      <c r="Q8" s="7">
        <v>11046218</v>
      </c>
      <c r="R8" s="7">
        <v>259847</v>
      </c>
      <c r="S8" s="7">
        <v>255954</v>
      </c>
      <c r="T8" s="7">
        <v>344752</v>
      </c>
      <c r="U8" s="7">
        <v>3168429</v>
      </c>
      <c r="V8" s="7">
        <v>11525015</v>
      </c>
      <c r="W8" s="15">
        <v>296699</v>
      </c>
      <c r="X8" s="15">
        <v>7151004.5713835433</v>
      </c>
      <c r="Y8" s="15">
        <v>359420.93741122261</v>
      </c>
      <c r="Z8" s="15">
        <v>7510425.5087947659</v>
      </c>
      <c r="AA8" s="9">
        <v>14320906029.251789</v>
      </c>
      <c r="AB8" s="9">
        <v>9903076401.7579803</v>
      </c>
      <c r="AC8" s="9">
        <v>24223982431.009769</v>
      </c>
    </row>
    <row r="9" spans="1:30" x14ac:dyDescent="0.25">
      <c r="A9">
        <v>2030</v>
      </c>
      <c r="B9" s="7">
        <v>11963962</v>
      </c>
      <c r="C9" s="7">
        <v>729472</v>
      </c>
      <c r="D9" s="7">
        <v>592062</v>
      </c>
      <c r="E9" s="7">
        <v>110093</v>
      </c>
      <c r="F9" s="11">
        <v>9.2020519623850348</v>
      </c>
      <c r="G9" s="15">
        <v>52390434.586179517</v>
      </c>
      <c r="H9" s="15">
        <v>3177500.4331134511</v>
      </c>
      <c r="I9" s="15">
        <v>55567935.019292973</v>
      </c>
      <c r="J9" s="9">
        <v>88260307711.469803</v>
      </c>
      <c r="K9" s="9">
        <v>89645534715.051071</v>
      </c>
      <c r="L9" s="9">
        <v>88260307711.469803</v>
      </c>
      <c r="M9" s="9">
        <v>177905842426.5209</v>
      </c>
      <c r="N9" s="7">
        <v>770800</v>
      </c>
      <c r="O9" s="13">
        <v>84.197968198160439</v>
      </c>
      <c r="P9" s="13">
        <v>89.490551375194599</v>
      </c>
      <c r="Q9" s="7">
        <v>11193162</v>
      </c>
      <c r="R9" s="7">
        <v>264382</v>
      </c>
      <c r="S9" s="7">
        <v>257940</v>
      </c>
      <c r="T9" s="7">
        <v>345382</v>
      </c>
      <c r="U9" s="7">
        <v>3743806</v>
      </c>
      <c r="V9" s="7">
        <v>11662193</v>
      </c>
      <c r="W9" s="15">
        <v>301769</v>
      </c>
      <c r="X9" s="15">
        <v>6983519.7352032736</v>
      </c>
      <c r="Y9" s="15">
        <v>338747.45028849231</v>
      </c>
      <c r="Z9" s="15">
        <v>7322267.1854917658</v>
      </c>
      <c r="AA9" s="9">
        <v>14083444628.737169</v>
      </c>
      <c r="AB9" s="9">
        <v>9169863487.9214935</v>
      </c>
      <c r="AC9" s="9">
        <v>23253308116.658661</v>
      </c>
    </row>
    <row r="10" spans="1:30" x14ac:dyDescent="0.25">
      <c r="A10">
        <v>2031</v>
      </c>
      <c r="B10" s="7">
        <v>12106904</v>
      </c>
      <c r="C10" s="7">
        <v>733782</v>
      </c>
      <c r="D10" s="7">
        <v>595526</v>
      </c>
      <c r="E10" s="7">
        <v>113417</v>
      </c>
      <c r="F10" s="11">
        <v>9.3679606280846031</v>
      </c>
      <c r="G10" s="15">
        <v>59208342.60180369</v>
      </c>
      <c r="H10" s="15">
        <v>3502202.675474823</v>
      </c>
      <c r="I10" s="15">
        <v>62710545.277278513</v>
      </c>
      <c r="J10" s="9">
        <v>101971954620.1068</v>
      </c>
      <c r="K10" s="9">
        <v>98305377060.10672</v>
      </c>
      <c r="L10" s="9">
        <v>101971954620.1068</v>
      </c>
      <c r="M10" s="9">
        <v>200277331680.21359</v>
      </c>
      <c r="N10" s="7">
        <v>771674</v>
      </c>
      <c r="O10" s="13">
        <v>84.613052932442514</v>
      </c>
      <c r="P10" s="13">
        <v>89.690063420563604</v>
      </c>
      <c r="Q10" s="7">
        <v>11335230</v>
      </c>
      <c r="R10" s="7">
        <v>270956</v>
      </c>
      <c r="S10" s="7">
        <v>263594</v>
      </c>
      <c r="T10" s="7">
        <v>345790</v>
      </c>
      <c r="U10" s="7">
        <v>4322884</v>
      </c>
      <c r="V10" s="7">
        <v>11802553</v>
      </c>
      <c r="W10" s="15">
        <v>304351</v>
      </c>
      <c r="X10" s="15">
        <v>6817908.015624173</v>
      </c>
      <c r="Y10" s="15">
        <v>324702.24236137228</v>
      </c>
      <c r="Z10" s="15">
        <v>7142610.2579855453</v>
      </c>
      <c r="AA10" s="9">
        <v>13711646908.63702</v>
      </c>
      <c r="AB10" s="9">
        <v>8659842345.0556488</v>
      </c>
      <c r="AC10" s="9">
        <v>22371489253.692692</v>
      </c>
    </row>
    <row r="11" spans="1:30" x14ac:dyDescent="0.25">
      <c r="A11">
        <v>2032</v>
      </c>
      <c r="B11" s="7">
        <v>12250228</v>
      </c>
      <c r="C11" s="7">
        <v>738118</v>
      </c>
      <c r="D11" s="7">
        <v>599361</v>
      </c>
      <c r="E11" s="7">
        <v>117696</v>
      </c>
      <c r="F11" s="11">
        <v>9.6076579146118739</v>
      </c>
      <c r="G11" s="15">
        <v>65862842.750815883</v>
      </c>
      <c r="H11" s="15">
        <v>3818267.5648271642</v>
      </c>
      <c r="I11" s="15">
        <v>69681110.315643042</v>
      </c>
      <c r="J11" s="9">
        <v>115291423957.1086</v>
      </c>
      <c r="K11" s="9">
        <v>106649030865.3868</v>
      </c>
      <c r="L11" s="9">
        <v>115291423957.1086</v>
      </c>
      <c r="M11" s="9">
        <v>221940454822.49539</v>
      </c>
      <c r="N11" s="7">
        <v>778566</v>
      </c>
      <c r="O11" s="13">
        <v>85.028942236830204</v>
      </c>
      <c r="P11" s="13">
        <v>89.920430637864996</v>
      </c>
      <c r="Q11" s="7">
        <v>11471662</v>
      </c>
      <c r="R11" s="7">
        <v>278852</v>
      </c>
      <c r="S11" s="7">
        <v>272499</v>
      </c>
      <c r="T11" s="7">
        <v>347263</v>
      </c>
      <c r="U11" s="7">
        <v>4906296</v>
      </c>
      <c r="V11" s="7">
        <v>11944307</v>
      </c>
      <c r="W11" s="15">
        <v>305921</v>
      </c>
      <c r="X11" s="15">
        <v>6654500.1490121931</v>
      </c>
      <c r="Y11" s="15">
        <v>316064.88935234031</v>
      </c>
      <c r="Z11" s="15">
        <v>6970565.0383645333</v>
      </c>
      <c r="AA11" s="9">
        <v>13319469337.00174</v>
      </c>
      <c r="AB11" s="9">
        <v>8343653805.2800903</v>
      </c>
      <c r="AC11" s="9">
        <v>21663123142.281799</v>
      </c>
    </row>
    <row r="12" spans="1:30" x14ac:dyDescent="0.25">
      <c r="A12">
        <v>2033</v>
      </c>
      <c r="B12" s="7">
        <v>12393973</v>
      </c>
      <c r="C12" s="7">
        <v>742479</v>
      </c>
      <c r="D12" s="7">
        <v>603026</v>
      </c>
      <c r="E12" s="7">
        <v>121014</v>
      </c>
      <c r="F12" s="11">
        <v>9.7639392953333033</v>
      </c>
      <c r="G12" s="15">
        <v>72356393.210450977</v>
      </c>
      <c r="H12" s="15">
        <v>4128393.685936756</v>
      </c>
      <c r="I12" s="15">
        <v>76484786.896387726</v>
      </c>
      <c r="J12" s="9">
        <v>128265434113.1416</v>
      </c>
      <c r="K12" s="9">
        <v>114779913557.7525</v>
      </c>
      <c r="L12" s="9">
        <v>128265434113.1416</v>
      </c>
      <c r="M12" s="9">
        <v>243045347670.8941</v>
      </c>
      <c r="N12" s="7">
        <v>789791</v>
      </c>
      <c r="O12" s="13">
        <v>85.444474181120128</v>
      </c>
      <c r="P12" s="13">
        <v>90.181658185519964</v>
      </c>
      <c r="Q12" s="7">
        <v>11604182</v>
      </c>
      <c r="R12" s="7">
        <v>286977</v>
      </c>
      <c r="S12" s="7">
        <v>282897</v>
      </c>
      <c r="T12" s="7">
        <v>351478</v>
      </c>
      <c r="U12" s="7">
        <v>5493517</v>
      </c>
      <c r="V12" s="7">
        <v>12085012</v>
      </c>
      <c r="W12" s="15">
        <v>308961</v>
      </c>
      <c r="X12" s="15">
        <v>6493550.4596350938</v>
      </c>
      <c r="Y12" s="15">
        <v>310126.1211095918</v>
      </c>
      <c r="Z12" s="15">
        <v>6803676.5807446856</v>
      </c>
      <c r="AA12" s="9">
        <v>12974010156.03307</v>
      </c>
      <c r="AB12" s="9">
        <v>8130882692.3656616</v>
      </c>
      <c r="AC12" s="9">
        <v>21104892848.398739</v>
      </c>
    </row>
    <row r="13" spans="1:30" x14ac:dyDescent="0.25">
      <c r="A13">
        <v>2034</v>
      </c>
      <c r="B13" s="7">
        <v>12539717</v>
      </c>
      <c r="C13" s="7">
        <v>746867</v>
      </c>
      <c r="D13" s="7">
        <v>605395</v>
      </c>
      <c r="E13" s="7">
        <v>124254</v>
      </c>
      <c r="F13" s="11">
        <v>9.9088360606543198</v>
      </c>
      <c r="G13" s="15">
        <v>78702605.355715066</v>
      </c>
      <c r="H13" s="15">
        <v>4434258.3128738236</v>
      </c>
      <c r="I13" s="15">
        <v>83136863.668588892</v>
      </c>
      <c r="J13" s="9">
        <v>140944938656.88379</v>
      </c>
      <c r="K13" s="9">
        <v>122766346149.21021</v>
      </c>
      <c r="L13" s="9">
        <v>140944938656.88379</v>
      </c>
      <c r="M13" s="9">
        <v>263711284806.09409</v>
      </c>
      <c r="N13" s="7">
        <v>805230</v>
      </c>
      <c r="O13" s="13">
        <v>85.859129675733513</v>
      </c>
      <c r="P13" s="13">
        <v>90.477479726289388</v>
      </c>
      <c r="Q13" s="7">
        <v>11734487</v>
      </c>
      <c r="R13" s="7">
        <v>295404</v>
      </c>
      <c r="S13" s="7">
        <v>294279</v>
      </c>
      <c r="T13" s="7">
        <v>358388</v>
      </c>
      <c r="U13" s="7">
        <v>6083360</v>
      </c>
      <c r="V13" s="7">
        <v>12226369</v>
      </c>
      <c r="W13" s="15">
        <v>313348</v>
      </c>
      <c r="X13" s="15">
        <v>6346212.1452640891</v>
      </c>
      <c r="Y13" s="15">
        <v>305864.62693706813</v>
      </c>
      <c r="Z13" s="15">
        <v>6652076.7722011572</v>
      </c>
      <c r="AA13" s="9">
        <v>12679504543.742189</v>
      </c>
      <c r="AB13" s="9">
        <v>7986432591.4577637</v>
      </c>
      <c r="AC13" s="9">
        <v>20665937135.199951</v>
      </c>
    </row>
    <row r="14" spans="1:30" x14ac:dyDescent="0.25">
      <c r="A14">
        <v>2035</v>
      </c>
      <c r="B14" s="7">
        <v>12680808</v>
      </c>
      <c r="C14" s="7">
        <v>751280</v>
      </c>
      <c r="D14" s="7">
        <v>614388</v>
      </c>
      <c r="E14" s="7">
        <v>128743</v>
      </c>
      <c r="F14" s="11">
        <v>10.15258649133399</v>
      </c>
      <c r="G14" s="15">
        <v>84902808.415195584</v>
      </c>
      <c r="H14" s="15">
        <v>4737477.2035977449</v>
      </c>
      <c r="I14" s="15">
        <v>89640285.618793324</v>
      </c>
      <c r="J14" s="9">
        <v>153393302319.80829</v>
      </c>
      <c r="K14" s="9">
        <v>130653418740.08321</v>
      </c>
      <c r="L14" s="9">
        <v>153393302319.80829</v>
      </c>
      <c r="M14" s="9">
        <v>284046721059.89148</v>
      </c>
      <c r="N14" s="7">
        <v>824068</v>
      </c>
      <c r="O14" s="13">
        <v>86.267273268391094</v>
      </c>
      <c r="P14" s="13">
        <v>90.801522447176694</v>
      </c>
      <c r="Q14" s="7">
        <v>11856740</v>
      </c>
      <c r="R14" s="7">
        <v>305018</v>
      </c>
      <c r="S14" s="7">
        <v>306981</v>
      </c>
      <c r="T14" s="7">
        <v>366966</v>
      </c>
      <c r="U14" s="7">
        <v>6681493</v>
      </c>
      <c r="V14" s="7">
        <v>12362135</v>
      </c>
      <c r="W14" s="15">
        <v>318673</v>
      </c>
      <c r="X14" s="15">
        <v>6200203.0594805181</v>
      </c>
      <c r="Y14" s="15">
        <v>303218.89072392142</v>
      </c>
      <c r="Z14" s="15">
        <v>6503421.9502044395</v>
      </c>
      <c r="AA14" s="9">
        <v>12448363662.9245</v>
      </c>
      <c r="AB14" s="9">
        <v>7887072590.8729553</v>
      </c>
      <c r="AC14" s="9">
        <v>20335436253.797421</v>
      </c>
    </row>
    <row r="15" spans="1:30" x14ac:dyDescent="0.25">
      <c r="A15">
        <v>2036</v>
      </c>
      <c r="B15" s="7">
        <v>12819768</v>
      </c>
      <c r="C15" s="7">
        <v>755719</v>
      </c>
      <c r="D15" s="7">
        <v>620843</v>
      </c>
      <c r="E15" s="7">
        <v>131111</v>
      </c>
      <c r="F15" s="11">
        <v>10.22725216244163</v>
      </c>
      <c r="G15" s="15">
        <v>90957708.504344463</v>
      </c>
      <c r="H15" s="15">
        <v>5038123.0380036933</v>
      </c>
      <c r="I15" s="15">
        <v>95995831.542348161</v>
      </c>
      <c r="J15" s="9">
        <v>165636449303.4827</v>
      </c>
      <c r="K15" s="9">
        <v>138477355024.01999</v>
      </c>
      <c r="L15" s="9">
        <v>165636449303.4827</v>
      </c>
      <c r="M15" s="9">
        <v>304113804327.50262</v>
      </c>
      <c r="N15" s="7">
        <v>844382</v>
      </c>
      <c r="O15" s="13">
        <v>86.666754967796606</v>
      </c>
      <c r="P15" s="13">
        <v>91.150049385230858</v>
      </c>
      <c r="Q15" s="7">
        <v>11975386</v>
      </c>
      <c r="R15" s="7">
        <v>313008</v>
      </c>
      <c r="S15" s="7">
        <v>321092</v>
      </c>
      <c r="T15" s="7">
        <v>377220</v>
      </c>
      <c r="U15" s="7">
        <v>7286211</v>
      </c>
      <c r="V15" s="7">
        <v>12494517</v>
      </c>
      <c r="W15" s="15">
        <v>325251</v>
      </c>
      <c r="X15" s="15">
        <v>6054900.0891488791</v>
      </c>
      <c r="Y15" s="15">
        <v>300645.83440594841</v>
      </c>
      <c r="Z15" s="15">
        <v>6355545.9235548275</v>
      </c>
      <c r="AA15" s="9">
        <v>12243146983.674351</v>
      </c>
      <c r="AB15" s="9">
        <v>7823936283.9367676</v>
      </c>
      <c r="AC15" s="9">
        <v>20067083267.611149</v>
      </c>
    </row>
    <row r="16" spans="1:30" x14ac:dyDescent="0.25">
      <c r="A16">
        <v>2037</v>
      </c>
      <c r="B16" s="7">
        <v>13039232</v>
      </c>
      <c r="C16" s="7">
        <v>760184</v>
      </c>
      <c r="D16" s="7">
        <v>543827</v>
      </c>
      <c r="E16" s="7">
        <v>136661</v>
      </c>
      <c r="F16" s="11">
        <v>10.480755308288099</v>
      </c>
      <c r="G16" s="15">
        <v>96886611.048786357</v>
      </c>
      <c r="H16" s="15">
        <v>5339021.6050746478</v>
      </c>
      <c r="I16" s="15">
        <v>102225632.653861</v>
      </c>
      <c r="J16" s="9">
        <v>177857083348.621</v>
      </c>
      <c r="K16" s="9">
        <v>146306102189.09659</v>
      </c>
      <c r="L16" s="9">
        <v>177857083348.621</v>
      </c>
      <c r="M16" s="9">
        <v>324163185537.71753</v>
      </c>
      <c r="N16" s="7">
        <v>879490</v>
      </c>
      <c r="O16" s="13">
        <v>87.168121941537663</v>
      </c>
      <c r="P16" s="13">
        <v>91.730485849753833</v>
      </c>
      <c r="Q16" s="7">
        <v>12159742</v>
      </c>
      <c r="R16" s="7">
        <v>326434</v>
      </c>
      <c r="S16" s="7">
        <v>336276</v>
      </c>
      <c r="T16" s="7">
        <v>393139</v>
      </c>
      <c r="U16" s="7">
        <v>7817510</v>
      </c>
      <c r="V16" s="7">
        <v>12700798</v>
      </c>
      <c r="W16" s="15">
        <v>338434</v>
      </c>
      <c r="X16" s="15">
        <v>5928902.5444418937</v>
      </c>
      <c r="Y16" s="15">
        <v>300898.56707095448</v>
      </c>
      <c r="Z16" s="15">
        <v>6229801.1115128482</v>
      </c>
      <c r="AA16" s="9">
        <v>12220634045.138309</v>
      </c>
      <c r="AB16" s="9">
        <v>7828747165.0765991</v>
      </c>
      <c r="AC16" s="9">
        <v>20049381210.214901</v>
      </c>
    </row>
    <row r="17" spans="1:29" x14ac:dyDescent="0.25">
      <c r="A17">
        <v>2038</v>
      </c>
      <c r="B17" s="7">
        <v>13152669</v>
      </c>
      <c r="C17" s="7">
        <v>764676</v>
      </c>
      <c r="D17" s="7">
        <v>655419</v>
      </c>
      <c r="E17" s="7">
        <v>140308</v>
      </c>
      <c r="F17" s="11">
        <v>10.667644719106059</v>
      </c>
      <c r="G17" s="15">
        <v>102684205.3233909</v>
      </c>
      <c r="H17" s="15">
        <v>5639304.81900521</v>
      </c>
      <c r="I17" s="15">
        <v>108323510.14239611</v>
      </c>
      <c r="J17" s="9">
        <v>189993516665.71091</v>
      </c>
      <c r="K17" s="9">
        <v>154119314932.6687</v>
      </c>
      <c r="L17" s="9">
        <v>189993516665.71091</v>
      </c>
      <c r="M17" s="9">
        <v>344112831598.37958</v>
      </c>
      <c r="N17" s="7">
        <v>901682</v>
      </c>
      <c r="O17" s="13">
        <v>87.528282282478173</v>
      </c>
      <c r="P17" s="13">
        <v>92.107381538058874</v>
      </c>
      <c r="Q17" s="7">
        <v>12250987</v>
      </c>
      <c r="R17" s="7">
        <v>334936</v>
      </c>
      <c r="S17" s="7">
        <v>350828</v>
      </c>
      <c r="T17" s="7">
        <v>405178</v>
      </c>
      <c r="U17" s="7">
        <v>8455848</v>
      </c>
      <c r="V17" s="7">
        <v>12806264</v>
      </c>
      <c r="W17" s="15">
        <v>346405</v>
      </c>
      <c r="X17" s="15">
        <v>5797594.2746045291</v>
      </c>
      <c r="Y17" s="15">
        <v>300283.21393056208</v>
      </c>
      <c r="Z17" s="15">
        <v>6097877.4885350913</v>
      </c>
      <c r="AA17" s="9">
        <v>12136433317.08997</v>
      </c>
      <c r="AB17" s="9">
        <v>7813212743.5721741</v>
      </c>
      <c r="AC17" s="9">
        <v>19949646060.662109</v>
      </c>
    </row>
    <row r="18" spans="1:29" x14ac:dyDescent="0.25">
      <c r="A18">
        <v>2039</v>
      </c>
      <c r="B18" s="7">
        <v>13256715</v>
      </c>
      <c r="C18" s="7">
        <v>769195</v>
      </c>
      <c r="D18" s="7">
        <v>669639</v>
      </c>
      <c r="E18" s="7">
        <v>143707</v>
      </c>
      <c r="F18" s="11">
        <v>10.840317529644411</v>
      </c>
      <c r="G18" s="15">
        <v>108329852.9001082</v>
      </c>
      <c r="H18" s="15">
        <v>5936642.8757283445</v>
      </c>
      <c r="I18" s="15">
        <v>114266495.7758365</v>
      </c>
      <c r="J18" s="9">
        <v>201997336363.4599</v>
      </c>
      <c r="K18" s="9">
        <v>161854241426.24341</v>
      </c>
      <c r="L18" s="9">
        <v>201997336363.4599</v>
      </c>
      <c r="M18" s="9">
        <v>363851577789.70343</v>
      </c>
      <c r="N18" s="7">
        <v>924041</v>
      </c>
      <c r="O18" s="13">
        <v>87.870946233663474</v>
      </c>
      <c r="P18" s="13">
        <v>92.471139267629894</v>
      </c>
      <c r="Q18" s="7">
        <v>12332674</v>
      </c>
      <c r="R18" s="7">
        <v>343572</v>
      </c>
      <c r="S18" s="7">
        <v>364326</v>
      </c>
      <c r="T18" s="7">
        <v>418815</v>
      </c>
      <c r="U18" s="7">
        <v>9107585</v>
      </c>
      <c r="V18" s="7">
        <v>12901520</v>
      </c>
      <c r="W18" s="15">
        <v>355195</v>
      </c>
      <c r="X18" s="15">
        <v>5645647.5767173171</v>
      </c>
      <c r="Y18" s="15">
        <v>297338.05672313459</v>
      </c>
      <c r="Z18" s="15">
        <v>5942985.6334404517</v>
      </c>
      <c r="AA18" s="9">
        <v>12003819697.748989</v>
      </c>
      <c r="AB18" s="9">
        <v>7734926493.574707</v>
      </c>
      <c r="AC18" s="9">
        <v>19738746191.32373</v>
      </c>
    </row>
    <row r="19" spans="1:29" x14ac:dyDescent="0.25">
      <c r="A19">
        <v>2040</v>
      </c>
      <c r="B19" s="7">
        <v>13348127</v>
      </c>
      <c r="C19" s="7">
        <v>773740</v>
      </c>
      <c r="D19" s="7">
        <v>686798</v>
      </c>
      <c r="E19" s="7">
        <v>146962</v>
      </c>
      <c r="F19" s="11">
        <v>11.009934202753691</v>
      </c>
      <c r="G19" s="15">
        <v>113822568.7286967</v>
      </c>
      <c r="H19" s="15">
        <v>6231079.5005145092</v>
      </c>
      <c r="I19" s="15">
        <v>120053648.2292113</v>
      </c>
      <c r="J19" s="9">
        <v>213874898454.81659</v>
      </c>
      <c r="K19" s="9">
        <v>169516206486.4549</v>
      </c>
      <c r="L19" s="9">
        <v>213874898454.81659</v>
      </c>
      <c r="M19" s="9">
        <v>383391104941.27148</v>
      </c>
      <c r="N19" s="7">
        <v>946903</v>
      </c>
      <c r="O19" s="13">
        <v>88.195407865088484</v>
      </c>
      <c r="P19" s="13">
        <v>92.848417419735711</v>
      </c>
      <c r="Q19" s="7">
        <v>12401224</v>
      </c>
      <c r="R19" s="7">
        <v>351774</v>
      </c>
      <c r="S19" s="7">
        <v>378415</v>
      </c>
      <c r="T19" s="7">
        <v>433464</v>
      </c>
      <c r="U19" s="7">
        <v>9775835</v>
      </c>
      <c r="V19" s="7">
        <v>12984245</v>
      </c>
      <c r="W19" s="15">
        <v>363882</v>
      </c>
      <c r="X19" s="15">
        <v>5492715.8285885453</v>
      </c>
      <c r="Y19" s="15">
        <v>294436.62478616461</v>
      </c>
      <c r="Z19" s="15">
        <v>5787152.4533747099</v>
      </c>
      <c r="AA19" s="9">
        <v>11877562091.356661</v>
      </c>
      <c r="AB19" s="9">
        <v>7661965060.2114868</v>
      </c>
      <c r="AC19" s="9">
        <v>19539527151.568119</v>
      </c>
    </row>
    <row r="20" spans="1:29" x14ac:dyDescent="0.25">
      <c r="E20" s="18">
        <f>(E19-E3)/E3</f>
        <v>0.63423665862310541</v>
      </c>
      <c r="N20" s="18">
        <f>(N19-N3)/N3</f>
        <v>0.15608361282004637</v>
      </c>
      <c r="O20" s="13">
        <f>AVERAGE(O2:O19)</f>
        <v>84.772422347872691</v>
      </c>
      <c r="AC20" s="10"/>
    </row>
    <row r="21" spans="1:29" x14ac:dyDescent="0.25">
      <c r="AC21" s="15"/>
    </row>
    <row r="22" spans="1:29" x14ac:dyDescent="0.25">
      <c r="AC22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51BD-976C-47C7-B82E-3D32D3F118F9}">
  <dimension ref="A1:AC20"/>
  <sheetViews>
    <sheetView tabSelected="1" zoomScale="90" zoomScaleNormal="90" workbookViewId="0">
      <pane xSplit="1" topLeftCell="B1" activePane="topRight" state="frozen"/>
      <selection pane="topRight" activeCell="F28" sqref="F28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4" width="11.140625" bestFit="1" customWidth="1"/>
    <col min="5" max="5" width="15.42578125" bestFit="1" customWidth="1"/>
    <col min="6" max="6" width="24.28515625" bestFit="1" customWidth="1"/>
    <col min="7" max="7" width="18.42578125" bestFit="1" customWidth="1"/>
    <col min="8" max="8" width="20.140625" bestFit="1" customWidth="1"/>
    <col min="9" max="9" width="16.140625" bestFit="1" customWidth="1"/>
    <col min="10" max="11" width="21.28515625" bestFit="1" customWidth="1"/>
    <col min="12" max="12" width="26.7109375" bestFit="1" customWidth="1"/>
    <col min="13" max="13" width="21.28515625" bestFit="1" customWidth="1"/>
    <col min="14" max="14" width="20.7109375" bestFit="1" customWidth="1"/>
    <col min="15" max="15" width="15.5703125" bestFit="1" customWidth="1"/>
    <col min="16" max="16" width="20" bestFit="1" customWidth="1"/>
    <col min="17" max="17" width="24.28515625" bestFit="1" customWidth="1"/>
    <col min="18" max="18" width="11.140625" bestFit="1" customWidth="1"/>
    <col min="19" max="19" width="15.5703125" bestFit="1" customWidth="1"/>
    <col min="20" max="20" width="12.85546875" bestFit="1" customWidth="1"/>
    <col min="21" max="21" width="12.7109375" bestFit="1" customWidth="1"/>
    <col min="22" max="22" width="13.85546875" bestFit="1" customWidth="1"/>
    <col min="23" max="23" width="16.28515625" bestFit="1" customWidth="1"/>
    <col min="24" max="24" width="18.140625" bestFit="1" customWidth="1"/>
    <col min="25" max="25" width="19.85546875" bestFit="1" customWidth="1"/>
    <col min="26" max="26" width="15.7109375" bestFit="1" customWidth="1"/>
    <col min="27" max="29" width="20.140625" bestFit="1" customWidth="1"/>
  </cols>
  <sheetData>
    <row r="1" spans="1:29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</row>
    <row r="2" spans="1:29" x14ac:dyDescent="0.25">
      <c r="A2">
        <v>2023</v>
      </c>
      <c r="B2" s="7">
        <v>10787479</v>
      </c>
      <c r="C2" s="7">
        <v>700000</v>
      </c>
      <c r="D2" s="7">
        <v>490000</v>
      </c>
      <c r="E2" s="7">
        <v>80000</v>
      </c>
      <c r="F2" s="11">
        <v>7.4160051667308</v>
      </c>
      <c r="G2" s="15">
        <v>0</v>
      </c>
      <c r="H2" s="15">
        <v>0</v>
      </c>
      <c r="I2" s="15">
        <v>0</v>
      </c>
      <c r="J2" s="9">
        <v>0</v>
      </c>
      <c r="K2" s="9">
        <v>0</v>
      </c>
      <c r="L2" s="9">
        <v>0</v>
      </c>
      <c r="M2" s="9">
        <v>0</v>
      </c>
      <c r="N2" s="7">
        <v>802386</v>
      </c>
      <c r="O2" s="14">
        <v>80.979452289084406</v>
      </c>
      <c r="P2" s="14">
        <v>87.567467528097453</v>
      </c>
      <c r="Q2" s="7">
        <v>9985093</v>
      </c>
      <c r="R2" s="7">
        <v>398969</v>
      </c>
      <c r="S2" s="7">
        <v>299115</v>
      </c>
      <c r="T2" s="7">
        <v>104302</v>
      </c>
      <c r="U2" s="7">
        <v>0</v>
      </c>
      <c r="V2" s="7">
        <v>10787479</v>
      </c>
      <c r="W2" s="7">
        <v>0</v>
      </c>
      <c r="X2" s="7">
        <v>0</v>
      </c>
      <c r="Y2" s="7">
        <v>0</v>
      </c>
      <c r="Z2" s="7">
        <v>0</v>
      </c>
      <c r="AA2">
        <v>0</v>
      </c>
      <c r="AB2">
        <v>0</v>
      </c>
      <c r="AC2">
        <v>0</v>
      </c>
    </row>
    <row r="3" spans="1:29" x14ac:dyDescent="0.25">
      <c r="A3">
        <v>2024</v>
      </c>
      <c r="B3" s="7">
        <v>10999835</v>
      </c>
      <c r="C3" s="7">
        <v>704136</v>
      </c>
      <c r="D3" s="7">
        <v>493275</v>
      </c>
      <c r="E3" s="7">
        <v>99736</v>
      </c>
      <c r="F3" s="11">
        <v>9.0670450965855398</v>
      </c>
      <c r="G3" s="15">
        <v>7978474.5329058291</v>
      </c>
      <c r="H3" s="15">
        <v>635408.26001519046</v>
      </c>
      <c r="I3" s="15">
        <v>8613882.7929210197</v>
      </c>
      <c r="J3" s="9">
        <v>8419073299.0380173</v>
      </c>
      <c r="K3" s="9">
        <v>17581426809.23436</v>
      </c>
      <c r="L3" s="9">
        <v>8419073299.0380173</v>
      </c>
      <c r="M3" s="9">
        <v>26000500108.272369</v>
      </c>
      <c r="N3" s="7">
        <v>829284</v>
      </c>
      <c r="O3" s="14">
        <v>81.516015194773374</v>
      </c>
      <c r="P3" s="14">
        <v>87.960728773254999</v>
      </c>
      <c r="Q3" s="7">
        <v>10170551</v>
      </c>
      <c r="R3" s="7">
        <v>336552</v>
      </c>
      <c r="S3" s="7">
        <v>315882</v>
      </c>
      <c r="T3" s="7">
        <v>193628</v>
      </c>
      <c r="U3" s="7">
        <v>475002</v>
      </c>
      <c r="V3" s="7">
        <v>10900643</v>
      </c>
      <c r="W3" s="7">
        <v>99192</v>
      </c>
      <c r="X3" s="7">
        <v>7978474.5329058291</v>
      </c>
      <c r="Y3" s="7">
        <v>635408.26001519046</v>
      </c>
      <c r="Z3" s="7">
        <v>8613882.7929210197</v>
      </c>
      <c r="AA3" s="9">
        <v>8419073299.0380173</v>
      </c>
      <c r="AB3" s="9">
        <v>17581426809.23436</v>
      </c>
      <c r="AC3" s="9">
        <v>26000500108.272369</v>
      </c>
    </row>
    <row r="4" spans="1:29" x14ac:dyDescent="0.25">
      <c r="A4">
        <v>2025</v>
      </c>
      <c r="B4" s="7">
        <v>11193705</v>
      </c>
      <c r="C4" s="7">
        <v>708297</v>
      </c>
      <c r="D4" s="7">
        <v>517058</v>
      </c>
      <c r="E4" s="7">
        <v>103161</v>
      </c>
      <c r="F4" s="11">
        <v>9.2159834478396565</v>
      </c>
      <c r="G4" s="15">
        <v>15795940.266230689</v>
      </c>
      <c r="H4" s="15">
        <v>1199842.2992071889</v>
      </c>
      <c r="I4" s="15">
        <v>16995782.565437879</v>
      </c>
      <c r="J4" s="9">
        <v>19333484763.719971</v>
      </c>
      <c r="K4" s="9">
        <v>33690358066.698879</v>
      </c>
      <c r="L4" s="9">
        <v>19333484763.719971</v>
      </c>
      <c r="M4" s="9">
        <v>53023842830.418854</v>
      </c>
      <c r="N4" s="7">
        <v>840022</v>
      </c>
      <c r="O4" s="14">
        <v>82.013937655137426</v>
      </c>
      <c r="P4" s="14">
        <v>88.29771839308971</v>
      </c>
      <c r="Q4" s="7">
        <v>10353683</v>
      </c>
      <c r="R4" s="7">
        <v>302751</v>
      </c>
      <c r="S4" s="7">
        <v>306866</v>
      </c>
      <c r="T4" s="7">
        <v>262942</v>
      </c>
      <c r="U4" s="7">
        <v>973670</v>
      </c>
      <c r="V4" s="7">
        <v>11015182</v>
      </c>
      <c r="W4" s="7">
        <v>178523</v>
      </c>
      <c r="X4" s="7">
        <v>7817465.7333248658</v>
      </c>
      <c r="Y4" s="7">
        <v>564434.03919199866</v>
      </c>
      <c r="Z4" s="7">
        <v>8381899.7725168644</v>
      </c>
      <c r="AA4" s="9">
        <v>10914411464.681959</v>
      </c>
      <c r="AB4" s="9">
        <v>16108931257.464531</v>
      </c>
      <c r="AC4" s="9">
        <v>27023342722.146481</v>
      </c>
    </row>
    <row r="5" spans="1:29" x14ac:dyDescent="0.25">
      <c r="A5">
        <v>2026</v>
      </c>
      <c r="B5" s="7">
        <v>11366733</v>
      </c>
      <c r="C5" s="7">
        <v>712482</v>
      </c>
      <c r="D5" s="7">
        <v>543198</v>
      </c>
      <c r="E5" s="7">
        <v>106448</v>
      </c>
      <c r="F5" s="11">
        <v>9.3648720349109986</v>
      </c>
      <c r="G5" s="15">
        <v>23448978.327926621</v>
      </c>
      <c r="H5" s="15">
        <v>1701303.121780653</v>
      </c>
      <c r="I5" s="15">
        <v>25150281.44970727</v>
      </c>
      <c r="J5" s="9">
        <v>32252806429.48436</v>
      </c>
      <c r="K5" s="9">
        <v>48044976528.400864</v>
      </c>
      <c r="L5" s="9">
        <v>32252806429.48436</v>
      </c>
      <c r="M5" s="9">
        <v>80297782957.885223</v>
      </c>
      <c r="N5" s="7">
        <v>839514</v>
      </c>
      <c r="O5" s="14">
        <v>82.482077743886478</v>
      </c>
      <c r="P5" s="14">
        <v>88.575960615308375</v>
      </c>
      <c r="Q5" s="7">
        <v>10527219</v>
      </c>
      <c r="R5" s="7">
        <v>286033</v>
      </c>
      <c r="S5" s="7">
        <v>291594</v>
      </c>
      <c r="T5" s="7">
        <v>309128</v>
      </c>
      <c r="U5" s="7">
        <v>1498420</v>
      </c>
      <c r="V5" s="7">
        <v>11130360</v>
      </c>
      <c r="W5" s="7">
        <v>236373</v>
      </c>
      <c r="X5" s="7">
        <v>7653038.0616959222</v>
      </c>
      <c r="Y5" s="7">
        <v>501460.82257346442</v>
      </c>
      <c r="Z5" s="7">
        <v>8154498.8842693875</v>
      </c>
      <c r="AA5" s="9">
        <v>12919321665.764391</v>
      </c>
      <c r="AB5" s="9">
        <v>14354618461.701969</v>
      </c>
      <c r="AC5" s="9">
        <v>27273940127.46637</v>
      </c>
    </row>
    <row r="6" spans="1:29" x14ac:dyDescent="0.25">
      <c r="A6">
        <v>2027</v>
      </c>
      <c r="B6" s="7">
        <v>11525000</v>
      </c>
      <c r="C6" s="7">
        <v>716692</v>
      </c>
      <c r="D6" s="7">
        <v>562724</v>
      </c>
      <c r="E6" s="7">
        <v>110430</v>
      </c>
      <c r="F6" s="11">
        <v>9.5817787418655094</v>
      </c>
      <c r="G6" s="15">
        <v>30933944.452037051</v>
      </c>
      <c r="H6" s="15">
        <v>2152619.3921251479</v>
      </c>
      <c r="I6" s="15">
        <v>33086563.8441622</v>
      </c>
      <c r="J6" s="9">
        <v>46432683376.966347</v>
      </c>
      <c r="K6" s="9">
        <v>60818166051.30262</v>
      </c>
      <c r="L6" s="9">
        <v>46432683376.966347</v>
      </c>
      <c r="M6" s="9">
        <v>107250849428.269</v>
      </c>
      <c r="N6" s="7">
        <v>834254</v>
      </c>
      <c r="O6" s="14">
        <v>82.928479652928416</v>
      </c>
      <c r="P6" s="14">
        <v>88.806823821042514</v>
      </c>
      <c r="Q6" s="7">
        <v>10690746</v>
      </c>
      <c r="R6" s="7">
        <v>279925</v>
      </c>
      <c r="S6" s="7">
        <v>280461</v>
      </c>
      <c r="T6" s="7">
        <v>334918</v>
      </c>
      <c r="U6" s="7">
        <v>2043036</v>
      </c>
      <c r="V6" s="7">
        <v>11250866</v>
      </c>
      <c r="W6" s="7">
        <v>274134</v>
      </c>
      <c r="X6" s="7">
        <v>7484966.1241104342</v>
      </c>
      <c r="Y6" s="7">
        <v>451316.27034449438</v>
      </c>
      <c r="Z6" s="7">
        <v>7936282.3944549281</v>
      </c>
      <c r="AA6" s="9">
        <v>14179876947.481991</v>
      </c>
      <c r="AB6" s="9">
        <v>12773189522.90176</v>
      </c>
      <c r="AC6" s="9">
        <v>26953066470.383759</v>
      </c>
    </row>
    <row r="7" spans="1:29" x14ac:dyDescent="0.25">
      <c r="A7">
        <v>2028</v>
      </c>
      <c r="B7" s="7">
        <v>11675527</v>
      </c>
      <c r="C7" s="7">
        <v>720927</v>
      </c>
      <c r="D7" s="7">
        <v>575162</v>
      </c>
      <c r="E7" s="7">
        <v>114157</v>
      </c>
      <c r="F7" s="11">
        <v>9.7774601523340241</v>
      </c>
      <c r="G7" s="15">
        <v>38249032.902177177</v>
      </c>
      <c r="H7" s="15">
        <v>2566012.3794303979</v>
      </c>
      <c r="I7" s="15">
        <v>40815045.281607583</v>
      </c>
      <c r="J7" s="9">
        <v>61233056545.927544</v>
      </c>
      <c r="K7" s="9">
        <v>72310320938.00116</v>
      </c>
      <c r="L7" s="9">
        <v>61233056545.927544</v>
      </c>
      <c r="M7" s="9">
        <v>133543377483.9287</v>
      </c>
      <c r="N7" s="7">
        <v>829460</v>
      </c>
      <c r="O7" s="14">
        <v>83.363694760844623</v>
      </c>
      <c r="P7" s="14">
        <v>89.011913775227256</v>
      </c>
      <c r="Q7" s="7">
        <v>10846067</v>
      </c>
      <c r="R7" s="7">
        <v>280248</v>
      </c>
      <c r="S7" s="7">
        <v>274760</v>
      </c>
      <c r="T7" s="7">
        <v>348830</v>
      </c>
      <c r="U7" s="7">
        <v>2600108</v>
      </c>
      <c r="V7" s="7">
        <v>11377906</v>
      </c>
      <c r="W7" s="7">
        <v>297621</v>
      </c>
      <c r="X7" s="7">
        <v>7315088.4501401344</v>
      </c>
      <c r="Y7" s="7">
        <v>413392.98730525048</v>
      </c>
      <c r="Z7" s="7">
        <v>7728481.4374453845</v>
      </c>
      <c r="AA7" s="9">
        <v>14800373168.961189</v>
      </c>
      <c r="AB7" s="9">
        <v>11492154886.69854</v>
      </c>
      <c r="AC7" s="9">
        <v>26292528055.659729</v>
      </c>
    </row>
    <row r="8" spans="1:29" x14ac:dyDescent="0.25">
      <c r="A8">
        <v>2029</v>
      </c>
      <c r="B8" s="7">
        <v>11821575</v>
      </c>
      <c r="C8" s="7">
        <v>725187</v>
      </c>
      <c r="D8" s="7">
        <v>584097</v>
      </c>
      <c r="E8" s="7">
        <v>117661</v>
      </c>
      <c r="F8" s="11">
        <v>9.9530730888227659</v>
      </c>
      <c r="G8" s="15">
        <v>45395102.719566748</v>
      </c>
      <c r="H8" s="15">
        <v>2951827.6531008501</v>
      </c>
      <c r="I8" s="15">
        <v>48346930.372667603</v>
      </c>
      <c r="J8" s="9">
        <v>76215411859.743607</v>
      </c>
      <c r="K8" s="9">
        <v>82838840450.39624</v>
      </c>
      <c r="L8" s="9">
        <v>76215411859.743607</v>
      </c>
      <c r="M8" s="9">
        <v>159054252310.1398</v>
      </c>
      <c r="N8" s="7">
        <v>827036</v>
      </c>
      <c r="O8" s="14">
        <v>83.786842108602286</v>
      </c>
      <c r="P8" s="14">
        <v>89.202899269197474</v>
      </c>
      <c r="Q8" s="7">
        <v>10994539</v>
      </c>
      <c r="R8" s="7">
        <v>284269</v>
      </c>
      <c r="S8" s="7">
        <v>274061</v>
      </c>
      <c r="T8" s="7">
        <v>355968</v>
      </c>
      <c r="U8" s="7">
        <v>3166363</v>
      </c>
      <c r="V8" s="7">
        <v>11510078</v>
      </c>
      <c r="W8" s="7">
        <v>311497</v>
      </c>
      <c r="X8" s="7">
        <v>7146069.8173895702</v>
      </c>
      <c r="Y8" s="7">
        <v>385815.27367045172</v>
      </c>
      <c r="Z8" s="7">
        <v>7531885.0910600219</v>
      </c>
      <c r="AA8" s="9">
        <v>14982355313.816059</v>
      </c>
      <c r="AB8" s="9">
        <v>10528519512.395081</v>
      </c>
      <c r="AC8" s="9">
        <v>25510874826.211121</v>
      </c>
    </row>
    <row r="9" spans="1:29" x14ac:dyDescent="0.25">
      <c r="A9">
        <v>2030</v>
      </c>
      <c r="B9" s="7">
        <v>11962164</v>
      </c>
      <c r="C9" s="7">
        <v>729472</v>
      </c>
      <c r="D9" s="7">
        <v>593814</v>
      </c>
      <c r="E9" s="7">
        <v>121290</v>
      </c>
      <c r="F9" s="11">
        <v>10.139469748115809</v>
      </c>
      <c r="G9" s="15">
        <v>52372599.456572063</v>
      </c>
      <c r="H9" s="15">
        <v>3318424.2317019482</v>
      </c>
      <c r="I9" s="15">
        <v>55691023.688274004</v>
      </c>
      <c r="J9" s="9">
        <v>91070446894.632645</v>
      </c>
      <c r="K9" s="9">
        <v>92694155715.852921</v>
      </c>
      <c r="L9" s="9">
        <v>91070446894.632645</v>
      </c>
      <c r="M9" s="9">
        <v>183764602610.4856</v>
      </c>
      <c r="N9" s="7">
        <v>828032</v>
      </c>
      <c r="O9" s="14">
        <v>84.200196469468239</v>
      </c>
      <c r="P9" s="14">
        <v>89.400728474261868</v>
      </c>
      <c r="Q9" s="7">
        <v>11134132</v>
      </c>
      <c r="R9" s="7">
        <v>290026</v>
      </c>
      <c r="S9" s="7">
        <v>278459</v>
      </c>
      <c r="T9" s="7">
        <v>359425</v>
      </c>
      <c r="U9" s="7">
        <v>3742630</v>
      </c>
      <c r="V9" s="7">
        <v>11642948</v>
      </c>
      <c r="W9" s="7">
        <v>319216</v>
      </c>
      <c r="X9" s="7">
        <v>6977496.7370053008</v>
      </c>
      <c r="Y9" s="7">
        <v>366596.57860109769</v>
      </c>
      <c r="Z9" s="7">
        <v>7344093.3156063994</v>
      </c>
      <c r="AA9" s="9">
        <v>14855035034.88904</v>
      </c>
      <c r="AB9" s="9">
        <v>9855315265.4566803</v>
      </c>
      <c r="AC9" s="9">
        <v>24710350300.34573</v>
      </c>
    </row>
    <row r="10" spans="1:29" x14ac:dyDescent="0.25">
      <c r="A10">
        <v>2031</v>
      </c>
      <c r="B10" s="7">
        <v>12101044</v>
      </c>
      <c r="C10" s="7">
        <v>733782</v>
      </c>
      <c r="D10" s="7">
        <v>599759</v>
      </c>
      <c r="E10" s="7">
        <v>124237</v>
      </c>
      <c r="F10" s="11">
        <v>10.26663484572075</v>
      </c>
      <c r="G10" s="15">
        <v>59181720.846678853</v>
      </c>
      <c r="H10" s="15">
        <v>3671666.2798149488</v>
      </c>
      <c r="I10" s="15">
        <v>62853387.126493797</v>
      </c>
      <c r="J10" s="9">
        <v>105633787022.43159</v>
      </c>
      <c r="K10" s="9">
        <v>102077410328.80791</v>
      </c>
      <c r="L10" s="9">
        <v>105633787022.43159</v>
      </c>
      <c r="M10" s="9">
        <v>207711197351.23941</v>
      </c>
      <c r="N10" s="7">
        <v>832790</v>
      </c>
      <c r="O10" s="14">
        <v>84.612950254540024</v>
      </c>
      <c r="P10" s="14">
        <v>89.603417428163169</v>
      </c>
      <c r="Q10" s="7">
        <v>11268254</v>
      </c>
      <c r="R10" s="7">
        <v>296547</v>
      </c>
      <c r="S10" s="7">
        <v>285881</v>
      </c>
      <c r="T10" s="7">
        <v>362852</v>
      </c>
      <c r="U10" s="7">
        <v>4324920</v>
      </c>
      <c r="V10" s="7">
        <v>11777322</v>
      </c>
      <c r="W10" s="7">
        <v>323722</v>
      </c>
      <c r="X10" s="7">
        <v>6809121.3901067898</v>
      </c>
      <c r="Y10" s="7">
        <v>353242.04811300099</v>
      </c>
      <c r="Z10" s="7">
        <v>7162363.4382197913</v>
      </c>
      <c r="AA10" s="9">
        <v>14563340127.79892</v>
      </c>
      <c r="AB10" s="9">
        <v>9383254612.9549713</v>
      </c>
      <c r="AC10" s="9">
        <v>23946594740.75388</v>
      </c>
    </row>
    <row r="11" spans="1:29" x14ac:dyDescent="0.25">
      <c r="A11">
        <v>2032</v>
      </c>
      <c r="B11" s="7">
        <v>12242273</v>
      </c>
      <c r="C11" s="7">
        <v>738118</v>
      </c>
      <c r="D11" s="7">
        <v>601514</v>
      </c>
      <c r="E11" s="7">
        <v>128443</v>
      </c>
      <c r="F11" s="11">
        <v>10.491760802916261</v>
      </c>
      <c r="G11" s="15">
        <v>65825630.731907792</v>
      </c>
      <c r="H11" s="15">
        <v>4015980.7539911051</v>
      </c>
      <c r="I11" s="15">
        <v>69841611.485898897</v>
      </c>
      <c r="J11" s="9">
        <v>119880498404.65359</v>
      </c>
      <c r="K11" s="9">
        <v>111141490824.4444</v>
      </c>
      <c r="L11" s="9">
        <v>119880498404.65359</v>
      </c>
      <c r="M11" s="9">
        <v>231021989229.09799</v>
      </c>
      <c r="N11" s="7">
        <v>843482</v>
      </c>
      <c r="O11" s="14">
        <v>85.029413410401816</v>
      </c>
      <c r="P11" s="14">
        <v>89.852904981967612</v>
      </c>
      <c r="Q11" s="7">
        <v>11398791</v>
      </c>
      <c r="R11" s="7">
        <v>304872</v>
      </c>
      <c r="S11" s="7">
        <v>295432</v>
      </c>
      <c r="T11" s="7">
        <v>368222</v>
      </c>
      <c r="U11" s="7">
        <v>4909255</v>
      </c>
      <c r="V11" s="7">
        <v>11913749</v>
      </c>
      <c r="W11" s="7">
        <v>328524</v>
      </c>
      <c r="X11" s="7">
        <v>6643909.8852289468</v>
      </c>
      <c r="Y11" s="7">
        <v>344314.47417615593</v>
      </c>
      <c r="Z11" s="7">
        <v>6988224.3594051022</v>
      </c>
      <c r="AA11" s="9">
        <v>14246711382.22208</v>
      </c>
      <c r="AB11" s="9">
        <v>9064080495.6365051</v>
      </c>
      <c r="AC11" s="9">
        <v>23310791877.858582</v>
      </c>
    </row>
    <row r="12" spans="1:29" x14ac:dyDescent="0.25">
      <c r="A12">
        <v>2033</v>
      </c>
      <c r="B12" s="7">
        <v>12381253</v>
      </c>
      <c r="C12" s="7">
        <v>742479</v>
      </c>
      <c r="D12" s="7">
        <v>608195</v>
      </c>
      <c r="E12" s="7">
        <v>132729</v>
      </c>
      <c r="F12" s="11">
        <v>10.72015893706396</v>
      </c>
      <c r="G12" s="15">
        <v>72306484.375234932</v>
      </c>
      <c r="H12" s="15">
        <v>4354234.4046077188</v>
      </c>
      <c r="I12" s="15">
        <v>76660718.779842645</v>
      </c>
      <c r="J12" s="9">
        <v>133842071806.2878</v>
      </c>
      <c r="K12" s="9">
        <v>119989663852.871</v>
      </c>
      <c r="L12" s="9">
        <v>133842071806.2878</v>
      </c>
      <c r="M12" s="9">
        <v>253831735659.15881</v>
      </c>
      <c r="N12" s="7">
        <v>858485</v>
      </c>
      <c r="O12" s="14">
        <v>85.442475733271905</v>
      </c>
      <c r="P12" s="14">
        <v>90.122725498989496</v>
      </c>
      <c r="Q12" s="7">
        <v>11522768</v>
      </c>
      <c r="R12" s="7">
        <v>314130</v>
      </c>
      <c r="S12" s="7">
        <v>307310</v>
      </c>
      <c r="T12" s="7">
        <v>374682</v>
      </c>
      <c r="U12" s="7">
        <v>5500161</v>
      </c>
      <c r="V12" s="7">
        <v>12047786</v>
      </c>
      <c r="W12" s="7">
        <v>333467</v>
      </c>
      <c r="X12" s="7">
        <v>6480853.6433271393</v>
      </c>
      <c r="Y12" s="7">
        <v>338253.65061661409</v>
      </c>
      <c r="Z12" s="7">
        <v>6819107.2939437525</v>
      </c>
      <c r="AA12" s="9">
        <v>13961573401.634109</v>
      </c>
      <c r="AB12" s="9">
        <v>8848173028.4266052</v>
      </c>
      <c r="AC12" s="9">
        <v>22809746430.06073</v>
      </c>
    </row>
    <row r="13" spans="1:29" x14ac:dyDescent="0.25">
      <c r="A13">
        <v>2034</v>
      </c>
      <c r="B13" s="7">
        <v>12521219</v>
      </c>
      <c r="C13" s="7">
        <v>746867</v>
      </c>
      <c r="D13" s="7">
        <v>611326</v>
      </c>
      <c r="E13" s="7">
        <v>135796</v>
      </c>
      <c r="F13" s="11">
        <v>10.8452699373759</v>
      </c>
      <c r="G13" s="15">
        <v>78637837.136993676</v>
      </c>
      <c r="H13" s="15">
        <v>4688605.7889765073</v>
      </c>
      <c r="I13" s="15">
        <v>83326442.925970182</v>
      </c>
      <c r="J13" s="9">
        <v>147525744494.6069</v>
      </c>
      <c r="K13" s="9">
        <v>128714280649.4632</v>
      </c>
      <c r="L13" s="9">
        <v>147525744494.6069</v>
      </c>
      <c r="M13" s="9">
        <v>276240025144.07019</v>
      </c>
      <c r="N13" s="7">
        <v>876577</v>
      </c>
      <c r="O13" s="14">
        <v>85.853938981500121</v>
      </c>
      <c r="P13" s="14">
        <v>90.422366774396323</v>
      </c>
      <c r="Q13" s="7">
        <v>11644642</v>
      </c>
      <c r="R13" s="7">
        <v>323203</v>
      </c>
      <c r="S13" s="7">
        <v>320362</v>
      </c>
      <c r="T13" s="7">
        <v>383140</v>
      </c>
      <c r="U13" s="7">
        <v>6094571</v>
      </c>
      <c r="V13" s="7">
        <v>12182597</v>
      </c>
      <c r="W13" s="7">
        <v>338622</v>
      </c>
      <c r="X13" s="7">
        <v>6331352.7617587447</v>
      </c>
      <c r="Y13" s="7">
        <v>334371.38436878851</v>
      </c>
      <c r="Z13" s="7">
        <v>6665724.1461275332</v>
      </c>
      <c r="AA13" s="9">
        <v>13683672688.31918</v>
      </c>
      <c r="AB13" s="9">
        <v>8724616796.5922241</v>
      </c>
      <c r="AC13" s="9">
        <v>22408289484.911442</v>
      </c>
    </row>
    <row r="14" spans="1:29" x14ac:dyDescent="0.25">
      <c r="A14">
        <v>2035</v>
      </c>
      <c r="B14" s="7">
        <v>12657961</v>
      </c>
      <c r="C14" s="7">
        <v>751280</v>
      </c>
      <c r="D14" s="7">
        <v>619164</v>
      </c>
      <c r="E14" s="7">
        <v>140138</v>
      </c>
      <c r="F14" s="11">
        <v>11.071135390605169</v>
      </c>
      <c r="G14" s="15">
        <v>84820571.368949845</v>
      </c>
      <c r="H14" s="15">
        <v>5019896.8532690695</v>
      </c>
      <c r="I14" s="15">
        <v>89840468.222218916</v>
      </c>
      <c r="J14" s="9">
        <v>160999464120.51611</v>
      </c>
      <c r="K14" s="9">
        <v>137332174913.5529</v>
      </c>
      <c r="L14" s="9">
        <v>160999464120.51611</v>
      </c>
      <c r="M14" s="9">
        <v>298331639034.06909</v>
      </c>
      <c r="N14" s="7">
        <v>897530</v>
      </c>
      <c r="O14" s="14">
        <v>86.260521896062087</v>
      </c>
      <c r="P14" s="14">
        <v>90.753607121767516</v>
      </c>
      <c r="Q14" s="7">
        <v>11760431</v>
      </c>
      <c r="R14" s="7">
        <v>333498</v>
      </c>
      <c r="S14" s="7">
        <v>333130</v>
      </c>
      <c r="T14" s="7">
        <v>393940</v>
      </c>
      <c r="U14" s="7">
        <v>6696199</v>
      </c>
      <c r="V14" s="7">
        <v>12312541</v>
      </c>
      <c r="W14" s="7">
        <v>345420</v>
      </c>
      <c r="X14" s="7">
        <v>6182734.231956169</v>
      </c>
      <c r="Y14" s="7">
        <v>331291.06429256219</v>
      </c>
      <c r="Z14" s="7">
        <v>6514025.2962487312</v>
      </c>
      <c r="AA14" s="9">
        <v>13473719625.90921</v>
      </c>
      <c r="AB14" s="9">
        <v>8617894264.0897064</v>
      </c>
      <c r="AC14" s="9">
        <v>22091613889.998901</v>
      </c>
    </row>
    <row r="15" spans="1:29" x14ac:dyDescent="0.25">
      <c r="A15">
        <v>2036</v>
      </c>
      <c r="B15" s="7">
        <v>12792838</v>
      </c>
      <c r="C15" s="7">
        <v>755719</v>
      </c>
      <c r="D15" s="7">
        <v>625337</v>
      </c>
      <c r="E15" s="7">
        <v>143483</v>
      </c>
      <c r="F15" s="11">
        <v>11.21588501316127</v>
      </c>
      <c r="G15" s="15">
        <v>90856185.945015416</v>
      </c>
      <c r="H15" s="15">
        <v>5348994.5531383445</v>
      </c>
      <c r="I15" s="15">
        <v>96205180.498153761</v>
      </c>
      <c r="J15" s="9">
        <v>174275583641.3642</v>
      </c>
      <c r="K15" s="9">
        <v>145897662525.15021</v>
      </c>
      <c r="L15" s="9">
        <v>174275583641.3642</v>
      </c>
      <c r="M15" s="9">
        <v>320173246166.5144</v>
      </c>
      <c r="N15" s="7">
        <v>921293</v>
      </c>
      <c r="O15" s="14">
        <v>86.65879173956553</v>
      </c>
      <c r="P15" s="14">
        <v>91.119972690555556</v>
      </c>
      <c r="Q15" s="7">
        <v>11871545</v>
      </c>
      <c r="R15" s="7">
        <v>342384</v>
      </c>
      <c r="S15" s="7">
        <v>348716</v>
      </c>
      <c r="T15" s="7">
        <v>406282</v>
      </c>
      <c r="U15" s="7">
        <v>7303990</v>
      </c>
      <c r="V15" s="7">
        <v>12439991</v>
      </c>
      <c r="W15" s="7">
        <v>352847</v>
      </c>
      <c r="X15" s="7">
        <v>6035614.5760655701</v>
      </c>
      <c r="Y15" s="7">
        <v>329097.69986927509</v>
      </c>
      <c r="Z15" s="7">
        <v>6364712.2759348452</v>
      </c>
      <c r="AA15" s="9">
        <v>13276119520.848049</v>
      </c>
      <c r="AB15" s="9">
        <v>8565487611.5972748</v>
      </c>
      <c r="AC15" s="9">
        <v>21841607132.445309</v>
      </c>
    </row>
    <row r="16" spans="1:29" x14ac:dyDescent="0.25">
      <c r="A16">
        <v>2037</v>
      </c>
      <c r="B16" s="7">
        <v>13009174</v>
      </c>
      <c r="C16" s="7">
        <v>760184</v>
      </c>
      <c r="D16" s="7">
        <v>547205</v>
      </c>
      <c r="E16" s="7">
        <v>149086</v>
      </c>
      <c r="F16" s="11">
        <v>11.460066565333049</v>
      </c>
      <c r="G16" s="15">
        <v>96764423.761059105</v>
      </c>
      <c r="H16" s="15">
        <v>5678274.4304797277</v>
      </c>
      <c r="I16" s="15">
        <v>102442698.1915388</v>
      </c>
      <c r="J16" s="9">
        <v>187552244334.6326</v>
      </c>
      <c r="K16" s="9">
        <v>154472840283.7319</v>
      </c>
      <c r="L16" s="9">
        <v>187552244334.6326</v>
      </c>
      <c r="M16" s="9">
        <v>342025084618.3645</v>
      </c>
      <c r="N16" s="7">
        <v>960151</v>
      </c>
      <c r="O16" s="14">
        <v>87.158482852178011</v>
      </c>
      <c r="P16" s="14">
        <v>91.700954329058661</v>
      </c>
      <c r="Q16" s="7">
        <v>12049023</v>
      </c>
      <c r="R16" s="7">
        <v>356907</v>
      </c>
      <c r="S16" s="7">
        <v>365716</v>
      </c>
      <c r="T16" s="7">
        <v>423738</v>
      </c>
      <c r="U16" s="7">
        <v>7837717</v>
      </c>
      <c r="V16" s="7">
        <v>12641431</v>
      </c>
      <c r="W16" s="7">
        <v>367743</v>
      </c>
      <c r="X16" s="7">
        <v>5908237.8160436898</v>
      </c>
      <c r="Y16" s="7">
        <v>329279.87734138308</v>
      </c>
      <c r="Z16" s="7">
        <v>6237517.693385073</v>
      </c>
      <c r="AA16" s="9">
        <v>13276660693.26837</v>
      </c>
      <c r="AB16" s="9">
        <v>8575177758.5816956</v>
      </c>
      <c r="AC16" s="9">
        <v>21851838451.850101</v>
      </c>
    </row>
    <row r="17" spans="1:29" x14ac:dyDescent="0.25">
      <c r="A17">
        <v>2038</v>
      </c>
      <c r="B17" s="7">
        <v>13117404</v>
      </c>
      <c r="C17" s="7">
        <v>764676</v>
      </c>
      <c r="D17" s="7">
        <v>661187</v>
      </c>
      <c r="E17" s="7">
        <v>153655</v>
      </c>
      <c r="F17" s="11">
        <v>11.71382691270315</v>
      </c>
      <c r="G17" s="15">
        <v>102540178.92674039</v>
      </c>
      <c r="H17" s="15">
        <v>6007013.0544239944</v>
      </c>
      <c r="I17" s="15">
        <v>108547191.9811644</v>
      </c>
      <c r="J17" s="9">
        <v>200757541713.39059</v>
      </c>
      <c r="K17" s="9">
        <v>163029504938.38199</v>
      </c>
      <c r="L17" s="9">
        <v>200757541713.39059</v>
      </c>
      <c r="M17" s="9">
        <v>363787046651.77258</v>
      </c>
      <c r="N17" s="7">
        <v>984800</v>
      </c>
      <c r="O17" s="14">
        <v>87.514394006618986</v>
      </c>
      <c r="P17" s="14">
        <v>92.062299959382614</v>
      </c>
      <c r="Q17" s="7">
        <v>12132604</v>
      </c>
      <c r="R17" s="7">
        <v>366680</v>
      </c>
      <c r="S17" s="7">
        <v>381205</v>
      </c>
      <c r="T17" s="7">
        <v>437451</v>
      </c>
      <c r="U17" s="7">
        <v>8479837</v>
      </c>
      <c r="V17" s="7">
        <v>12740235</v>
      </c>
      <c r="W17" s="7">
        <v>377169</v>
      </c>
      <c r="X17" s="7">
        <v>5775755.1656813323</v>
      </c>
      <c r="Y17" s="7">
        <v>328738.6239442667</v>
      </c>
      <c r="Z17" s="7">
        <v>6104493.789625599</v>
      </c>
      <c r="AA17" s="9">
        <v>13205297378.75803</v>
      </c>
      <c r="AB17" s="9">
        <v>8556664654.6501455</v>
      </c>
      <c r="AC17" s="9">
        <v>21761962033.408138</v>
      </c>
    </row>
    <row r="18" spans="1:29" x14ac:dyDescent="0.25">
      <c r="A18">
        <v>2039</v>
      </c>
      <c r="B18" s="7">
        <v>13218733</v>
      </c>
      <c r="C18" s="7">
        <v>769195</v>
      </c>
      <c r="D18" s="7">
        <v>672674</v>
      </c>
      <c r="E18" s="7">
        <v>157049</v>
      </c>
      <c r="F18" s="11">
        <v>11.880790693026331</v>
      </c>
      <c r="G18" s="15">
        <v>108162768.0506995</v>
      </c>
      <c r="H18" s="15">
        <v>6332627.6882797219</v>
      </c>
      <c r="I18" s="15">
        <v>114495395.73897929</v>
      </c>
      <c r="J18" s="9">
        <v>213831106210.84219</v>
      </c>
      <c r="K18" s="9">
        <v>171506769360.92651</v>
      </c>
      <c r="L18" s="9">
        <v>213831106210.84219</v>
      </c>
      <c r="M18" s="9">
        <v>385337875571.7688</v>
      </c>
      <c r="N18" s="7">
        <v>1010206</v>
      </c>
      <c r="O18" s="14">
        <v>87.855357166227662</v>
      </c>
      <c r="P18" s="14">
        <v>92.427020825455401</v>
      </c>
      <c r="Q18" s="7">
        <v>12208527</v>
      </c>
      <c r="R18" s="7">
        <v>375933</v>
      </c>
      <c r="S18" s="7">
        <v>396356</v>
      </c>
      <c r="T18" s="7">
        <v>453116</v>
      </c>
      <c r="U18" s="7">
        <v>9133040</v>
      </c>
      <c r="V18" s="7">
        <v>12831708</v>
      </c>
      <c r="W18" s="7">
        <v>387025</v>
      </c>
      <c r="X18" s="7">
        <v>5622589.1239590943</v>
      </c>
      <c r="Y18" s="7">
        <v>325614.6338557275</v>
      </c>
      <c r="Z18" s="7">
        <v>5948203.7578148218</v>
      </c>
      <c r="AA18" s="9">
        <v>13073564497.45163</v>
      </c>
      <c r="AB18" s="9">
        <v>8477264422.5444946</v>
      </c>
      <c r="AC18" s="9">
        <v>21550828919.996151</v>
      </c>
    </row>
    <row r="19" spans="1:29" x14ac:dyDescent="0.25">
      <c r="A19">
        <v>2040</v>
      </c>
      <c r="B19" s="7">
        <v>13306219</v>
      </c>
      <c r="C19" s="7">
        <v>773740</v>
      </c>
      <c r="D19" s="7">
        <v>691269</v>
      </c>
      <c r="E19" s="7">
        <v>159591</v>
      </c>
      <c r="F19" s="11">
        <v>11.99371511922357</v>
      </c>
      <c r="G19" s="15">
        <v>113631898.1303238</v>
      </c>
      <c r="H19" s="15">
        <v>6654336.3909157449</v>
      </c>
      <c r="I19" s="15">
        <v>120286234.5212395</v>
      </c>
      <c r="J19" s="9">
        <v>226765570813.81299</v>
      </c>
      <c r="K19" s="9">
        <v>179901584672.54959</v>
      </c>
      <c r="L19" s="9">
        <v>226765570813.81299</v>
      </c>
      <c r="M19" s="9">
        <v>406667155486.36249</v>
      </c>
      <c r="N19" s="7">
        <v>1033451</v>
      </c>
      <c r="O19" s="14">
        <v>88.177631527032588</v>
      </c>
      <c r="P19" s="14">
        <v>92.793336113661894</v>
      </c>
      <c r="Q19" s="7">
        <v>12272768</v>
      </c>
      <c r="R19" s="7">
        <v>382830</v>
      </c>
      <c r="S19" s="7">
        <v>412669</v>
      </c>
      <c r="T19" s="7">
        <v>468553</v>
      </c>
      <c r="U19" s="7">
        <v>9803892</v>
      </c>
      <c r="V19" s="7">
        <v>12909231</v>
      </c>
      <c r="W19" s="7">
        <v>396988</v>
      </c>
      <c r="X19" s="7">
        <v>5469130.0796242515</v>
      </c>
      <c r="Y19" s="7">
        <v>321708.70263602311</v>
      </c>
      <c r="Z19" s="7">
        <v>5790838.7822602736</v>
      </c>
      <c r="AA19" s="9">
        <v>12934464602.97073</v>
      </c>
      <c r="AB19" s="9">
        <v>8394815311.6230774</v>
      </c>
      <c r="AC19" s="9">
        <v>21329279914.59375</v>
      </c>
    </row>
    <row r="20" spans="1:29" x14ac:dyDescent="0.25">
      <c r="E20" s="18">
        <f>(E19-E3)/E3</f>
        <v>0.60013435469639853</v>
      </c>
      <c r="N20" s="18">
        <f>(N19-N3)/N3</f>
        <v>0.24619671909743826</v>
      </c>
      <c r="O20" s="13">
        <f>AVERAGE(O2:O19)</f>
        <v>84.768591857895757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F2C8-BC79-4185-B43D-ED435C01FD83}">
  <dimension ref="A1:AE21"/>
  <sheetViews>
    <sheetView topLeftCell="A10" workbookViewId="0">
      <pane xSplit="1" topLeftCell="O1" activePane="topRight" state="frozen"/>
      <selection pane="topRight" activeCell="T42" sqref="T42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4" width="11.140625" bestFit="1" customWidth="1"/>
    <col min="5" max="5" width="15.42578125" bestFit="1" customWidth="1"/>
    <col min="6" max="6" width="15.42578125" customWidth="1"/>
    <col min="7" max="7" width="24.28515625" bestFit="1" customWidth="1"/>
    <col min="8" max="8" width="18.42578125" bestFit="1" customWidth="1"/>
    <col min="9" max="9" width="20.140625" bestFit="1" customWidth="1"/>
    <col min="10" max="10" width="16" bestFit="1" customWidth="1"/>
    <col min="11" max="12" width="20" bestFit="1" customWidth="1"/>
    <col min="13" max="13" width="26.85546875" bestFit="1" customWidth="1"/>
    <col min="14" max="14" width="20" bestFit="1" customWidth="1"/>
    <col min="15" max="15" width="20.7109375" bestFit="1" customWidth="1"/>
    <col min="16" max="16" width="15.5703125" bestFit="1" customWidth="1"/>
    <col min="17" max="17" width="20" bestFit="1" customWidth="1"/>
    <col min="18" max="18" width="24.28515625" bestFit="1" customWidth="1"/>
    <col min="19" max="19" width="11.140625" bestFit="1" customWidth="1"/>
    <col min="20" max="20" width="15.5703125" bestFit="1" customWidth="1"/>
    <col min="21" max="21" width="12.85546875" bestFit="1" customWidth="1"/>
    <col min="22" max="22" width="12.7109375" bestFit="1" customWidth="1"/>
    <col min="23" max="23" width="13.85546875" bestFit="1" customWidth="1"/>
    <col min="24" max="24" width="16.28515625" bestFit="1" customWidth="1"/>
    <col min="25" max="25" width="18.140625" bestFit="1" customWidth="1"/>
    <col min="26" max="26" width="19.85546875" bestFit="1" customWidth="1"/>
    <col min="27" max="27" width="15.7109375" bestFit="1" customWidth="1"/>
    <col min="28" max="28" width="19" bestFit="1" customWidth="1"/>
    <col min="29" max="29" width="19.28515625" bestFit="1" customWidth="1"/>
    <col min="30" max="30" width="19" bestFit="1" customWidth="1"/>
    <col min="31" max="31" width="12" bestFit="1" customWidth="1"/>
  </cols>
  <sheetData>
    <row r="1" spans="1:31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/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6" t="s">
        <v>56</v>
      </c>
      <c r="AC1" s="6" t="s">
        <v>57</v>
      </c>
      <c r="AD1" s="6" t="s">
        <v>58</v>
      </c>
    </row>
    <row r="2" spans="1:31" x14ac:dyDescent="0.25">
      <c r="A2">
        <v>2023</v>
      </c>
      <c r="B2" s="7">
        <v>10787479</v>
      </c>
      <c r="C2" s="7">
        <v>700000</v>
      </c>
      <c r="D2" s="7">
        <v>490000</v>
      </c>
      <c r="E2" s="7">
        <v>80000</v>
      </c>
      <c r="F2" s="7"/>
      <c r="G2" s="11">
        <v>7.4160051667308</v>
      </c>
      <c r="H2" s="15">
        <v>0</v>
      </c>
      <c r="I2" s="15">
        <v>0</v>
      </c>
      <c r="J2" s="15">
        <v>0</v>
      </c>
      <c r="K2" s="9">
        <v>0</v>
      </c>
      <c r="L2" s="9">
        <v>0</v>
      </c>
      <c r="M2" s="9">
        <v>0</v>
      </c>
      <c r="N2" s="9">
        <v>0</v>
      </c>
      <c r="O2" s="7">
        <v>802386</v>
      </c>
      <c r="P2" s="13">
        <v>80.979452289084406</v>
      </c>
      <c r="Q2" s="13">
        <v>87.567467528097453</v>
      </c>
      <c r="R2" s="7">
        <v>9985093</v>
      </c>
      <c r="S2" s="7">
        <v>398969</v>
      </c>
      <c r="T2" s="7">
        <v>299115</v>
      </c>
      <c r="U2" s="7">
        <v>104302</v>
      </c>
      <c r="V2" s="7">
        <v>0</v>
      </c>
      <c r="W2" s="7">
        <v>10787479</v>
      </c>
      <c r="X2" s="7">
        <v>0</v>
      </c>
      <c r="Y2" s="7">
        <v>0</v>
      </c>
      <c r="Z2" s="7">
        <v>0</v>
      </c>
      <c r="AA2" s="7">
        <v>0</v>
      </c>
      <c r="AB2" s="9">
        <v>0</v>
      </c>
      <c r="AC2" s="9">
        <v>0</v>
      </c>
      <c r="AD2" s="9">
        <v>0</v>
      </c>
    </row>
    <row r="3" spans="1:31" x14ac:dyDescent="0.25">
      <c r="A3">
        <v>2024</v>
      </c>
      <c r="B3" s="7">
        <v>10999428</v>
      </c>
      <c r="C3" s="7">
        <v>704136</v>
      </c>
      <c r="D3" s="7">
        <v>493667</v>
      </c>
      <c r="E3" s="7">
        <v>108478</v>
      </c>
      <c r="F3" s="18">
        <f>(E3-E2)/E2</f>
        <v>0.35597499999999999</v>
      </c>
      <c r="G3" s="11">
        <v>9.8621491953945242</v>
      </c>
      <c r="H3" s="15">
        <v>7977430.3617714429</v>
      </c>
      <c r="I3" s="15">
        <v>641542.57808979694</v>
      </c>
      <c r="J3" s="15">
        <v>8618972.9398612399</v>
      </c>
      <c r="K3" s="9">
        <v>8504919394.3112917</v>
      </c>
      <c r="L3" s="9">
        <v>17651837488.727348</v>
      </c>
      <c r="M3" s="9">
        <v>8504919394.3112917</v>
      </c>
      <c r="N3" s="9">
        <v>26156756883.038639</v>
      </c>
      <c r="O3" s="7">
        <v>838038</v>
      </c>
      <c r="P3" s="13">
        <v>81.5159215551936</v>
      </c>
      <c r="Q3" s="13">
        <v>87.948286354556714</v>
      </c>
      <c r="R3" s="7">
        <v>10161390</v>
      </c>
      <c r="S3" s="7">
        <v>344907</v>
      </c>
      <c r="T3" s="7">
        <v>315859</v>
      </c>
      <c r="U3" s="7">
        <v>194027</v>
      </c>
      <c r="V3" s="7">
        <v>475432</v>
      </c>
      <c r="W3" s="7">
        <v>10898995</v>
      </c>
      <c r="X3" s="7">
        <v>100433</v>
      </c>
      <c r="Y3" s="7">
        <v>7977430.3617714429</v>
      </c>
      <c r="Z3" s="7">
        <v>641542.57808979694</v>
      </c>
      <c r="AA3" s="7">
        <v>8618972.9398612399</v>
      </c>
      <c r="AB3" s="9">
        <v>8504919394.3112917</v>
      </c>
      <c r="AC3" s="9">
        <v>17651837488.727348</v>
      </c>
      <c r="AD3" s="9">
        <v>26156756883.038639</v>
      </c>
      <c r="AE3" s="18" t="e">
        <f>(AD3-AD2)/AD2</f>
        <v>#DIV/0!</v>
      </c>
    </row>
    <row r="4" spans="1:31" x14ac:dyDescent="0.25">
      <c r="A4">
        <v>2025</v>
      </c>
      <c r="B4" s="7">
        <v>11192996</v>
      </c>
      <c r="C4" s="7">
        <v>708297</v>
      </c>
      <c r="D4" s="7">
        <v>517382</v>
      </c>
      <c r="E4" s="7">
        <v>112992</v>
      </c>
      <c r="F4" s="18">
        <f t="shared" ref="F4:F19" si="0">(E4-E3)/E3</f>
        <v>4.1612124117332547E-2</v>
      </c>
      <c r="G4" s="11">
        <v>10.094884336597641</v>
      </c>
      <c r="H4" s="15">
        <v>15793913.3523781</v>
      </c>
      <c r="I4" s="15">
        <v>1218113.537289473</v>
      </c>
      <c r="J4" s="15">
        <v>17012026.889667571</v>
      </c>
      <c r="K4" s="9">
        <v>19596855256.812168</v>
      </c>
      <c r="L4" s="9">
        <v>33940120549.940441</v>
      </c>
      <c r="M4" s="9">
        <v>19596855256.812168</v>
      </c>
      <c r="N4" s="9">
        <v>53536975806.752609</v>
      </c>
      <c r="O4" s="7">
        <v>857889</v>
      </c>
      <c r="P4" s="13">
        <v>82.013832132165504</v>
      </c>
      <c r="Q4" s="13">
        <v>88.26773044065142</v>
      </c>
      <c r="R4" s="7">
        <v>10335107</v>
      </c>
      <c r="S4" s="7">
        <v>317577</v>
      </c>
      <c r="T4" s="7">
        <v>309318</v>
      </c>
      <c r="U4" s="7">
        <v>263902</v>
      </c>
      <c r="V4" s="7">
        <v>974008</v>
      </c>
      <c r="W4" s="7">
        <v>11011275</v>
      </c>
      <c r="X4" s="7">
        <v>181721</v>
      </c>
      <c r="Y4" s="7">
        <v>7816482.9906066544</v>
      </c>
      <c r="Z4" s="7">
        <v>576570.95919967559</v>
      </c>
      <c r="AA4" s="7">
        <v>8393053.9498063289</v>
      </c>
      <c r="AB4" s="9">
        <v>11091935862.500879</v>
      </c>
      <c r="AC4" s="9">
        <v>16288283061.213091</v>
      </c>
      <c r="AD4" s="9">
        <v>27380218923.71397</v>
      </c>
      <c r="AE4" s="18">
        <f t="shared" ref="AE4:AE19" si="1">(AD4-AD3)/AD3</f>
        <v>4.6774225342465357E-2</v>
      </c>
    </row>
    <row r="5" spans="1:31" x14ac:dyDescent="0.25">
      <c r="A5">
        <v>2026</v>
      </c>
      <c r="B5" s="7">
        <v>11363823</v>
      </c>
      <c r="C5" s="7">
        <v>712482</v>
      </c>
      <c r="D5" s="7">
        <v>545342</v>
      </c>
      <c r="E5" s="7">
        <v>116715</v>
      </c>
      <c r="F5" s="18">
        <f t="shared" si="0"/>
        <v>3.2949235344095155E-2</v>
      </c>
      <c r="G5" s="11">
        <v>10.27075131318043</v>
      </c>
      <c r="H5" s="15">
        <v>23444575.631115772</v>
      </c>
      <c r="I5" s="15">
        <v>1737435.392849975</v>
      </c>
      <c r="J5" s="15">
        <v>25182011.02396575</v>
      </c>
      <c r="K5" s="9">
        <v>32765081920.446121</v>
      </c>
      <c r="L5" s="9">
        <v>48627905767.358208</v>
      </c>
      <c r="M5" s="9">
        <v>32765081920.446121</v>
      </c>
      <c r="N5" s="9">
        <v>81392987687.804321</v>
      </c>
      <c r="O5" s="7">
        <v>866051</v>
      </c>
      <c r="P5" s="13">
        <v>82.479418414031969</v>
      </c>
      <c r="Q5" s="13">
        <v>88.52864900565902</v>
      </c>
      <c r="R5" s="7">
        <v>10497772</v>
      </c>
      <c r="S5" s="7">
        <v>305083</v>
      </c>
      <c r="T5" s="7">
        <v>298605</v>
      </c>
      <c r="U5" s="7">
        <v>310727</v>
      </c>
      <c r="V5" s="7">
        <v>1500207</v>
      </c>
      <c r="W5" s="7">
        <v>11123109</v>
      </c>
      <c r="X5" s="7">
        <v>240714</v>
      </c>
      <c r="Y5" s="7">
        <v>7650662.2787376754</v>
      </c>
      <c r="Z5" s="7">
        <v>519321.85556050198</v>
      </c>
      <c r="AA5" s="7">
        <v>8169984.1342981774</v>
      </c>
      <c r="AB5" s="9">
        <v>13168226663.633949</v>
      </c>
      <c r="AC5" s="9">
        <v>14687785217.41777</v>
      </c>
      <c r="AD5" s="9">
        <v>27856011881.051708</v>
      </c>
      <c r="AE5" s="18">
        <f t="shared" si="1"/>
        <v>1.7377251754756951E-2</v>
      </c>
    </row>
    <row r="6" spans="1:31" x14ac:dyDescent="0.25">
      <c r="A6">
        <v>2027</v>
      </c>
      <c r="B6" s="7">
        <v>11522696</v>
      </c>
      <c r="C6" s="7">
        <v>716692</v>
      </c>
      <c r="D6" s="7">
        <v>562308</v>
      </c>
      <c r="E6" s="7">
        <v>120771</v>
      </c>
      <c r="F6" s="18">
        <f t="shared" si="0"/>
        <v>3.4751317311399563E-2</v>
      </c>
      <c r="G6" s="11">
        <v>10.48114087189318</v>
      </c>
      <c r="H6" s="15">
        <v>30925656.227382731</v>
      </c>
      <c r="I6" s="15">
        <v>2210560.1060101031</v>
      </c>
      <c r="J6" s="15">
        <v>33136216.333392829</v>
      </c>
      <c r="K6" s="9">
        <v>47287265918.906273</v>
      </c>
      <c r="L6" s="9">
        <v>61856623166.075089</v>
      </c>
      <c r="M6" s="9">
        <v>47287265918.906273</v>
      </c>
      <c r="N6" s="9">
        <v>109143889084.9814</v>
      </c>
      <c r="O6" s="7">
        <v>868945</v>
      </c>
      <c r="P6" s="13">
        <v>82.926321235932974</v>
      </c>
      <c r="Q6" s="13">
        <v>88.750998049358699</v>
      </c>
      <c r="R6" s="7">
        <v>10653751</v>
      </c>
      <c r="S6" s="7">
        <v>301902</v>
      </c>
      <c r="T6" s="7">
        <v>290833</v>
      </c>
      <c r="U6" s="7">
        <v>338946</v>
      </c>
      <c r="V6" s="7">
        <v>2043654</v>
      </c>
      <c r="W6" s="7">
        <v>11242198</v>
      </c>
      <c r="X6" s="7">
        <v>280498</v>
      </c>
      <c r="Y6" s="7">
        <v>7481080.5962669551</v>
      </c>
      <c r="Z6" s="7">
        <v>473124.71316012862</v>
      </c>
      <c r="AA6" s="7">
        <v>7954205.3094270825</v>
      </c>
      <c r="AB6" s="9">
        <v>14522183998.46015</v>
      </c>
      <c r="AC6" s="9">
        <v>13228717398.716881</v>
      </c>
      <c r="AD6" s="9">
        <v>27750901397.177029</v>
      </c>
      <c r="AE6" s="18">
        <f t="shared" si="1"/>
        <v>-3.7733500518133431E-3</v>
      </c>
    </row>
    <row r="7" spans="1:31" x14ac:dyDescent="0.25">
      <c r="A7">
        <v>2028</v>
      </c>
      <c r="B7" s="7">
        <v>11672117</v>
      </c>
      <c r="C7" s="7">
        <v>720927</v>
      </c>
      <c r="D7" s="7">
        <v>576337</v>
      </c>
      <c r="E7" s="7">
        <v>124164</v>
      </c>
      <c r="F7" s="18">
        <f t="shared" si="0"/>
        <v>2.8094492883225276E-2</v>
      </c>
      <c r="G7" s="11">
        <v>10.63765896109506</v>
      </c>
      <c r="H7" s="15">
        <v>38235921.05431626</v>
      </c>
      <c r="I7" s="15">
        <v>2648237.2014160911</v>
      </c>
      <c r="J7" s="15">
        <v>40884158.25573235</v>
      </c>
      <c r="K7" s="9">
        <v>62530520775.673103</v>
      </c>
      <c r="L7" s="9">
        <v>73908757285.846115</v>
      </c>
      <c r="M7" s="9">
        <v>62530520775.673103</v>
      </c>
      <c r="N7" s="9">
        <v>136439278061.5192</v>
      </c>
      <c r="O7" s="7">
        <v>870666</v>
      </c>
      <c r="P7" s="13">
        <v>83.360029804361972</v>
      </c>
      <c r="Q7" s="13">
        <v>88.9491481233906</v>
      </c>
      <c r="R7" s="7">
        <v>10801451</v>
      </c>
      <c r="S7" s="7">
        <v>302951</v>
      </c>
      <c r="T7" s="7">
        <v>288722</v>
      </c>
      <c r="U7" s="7">
        <v>356124</v>
      </c>
      <c r="V7" s="7">
        <v>2600765</v>
      </c>
      <c r="W7" s="7">
        <v>11365662</v>
      </c>
      <c r="X7" s="7">
        <v>306455</v>
      </c>
      <c r="Y7" s="7">
        <v>7310264.826933533</v>
      </c>
      <c r="Z7" s="7">
        <v>437677.09540598752</v>
      </c>
      <c r="AA7" s="7">
        <v>7747941.9223395204</v>
      </c>
      <c r="AB7" s="9">
        <v>15243254856.766821</v>
      </c>
      <c r="AC7" s="9">
        <v>12052134119.77103</v>
      </c>
      <c r="AD7" s="9">
        <v>27295388976.537861</v>
      </c>
      <c r="AE7" s="18">
        <f t="shared" si="1"/>
        <v>-1.6414328821964138E-2</v>
      </c>
    </row>
    <row r="8" spans="1:31" x14ac:dyDescent="0.25">
      <c r="A8">
        <v>2029</v>
      </c>
      <c r="B8" s="7">
        <v>11815484</v>
      </c>
      <c r="C8" s="7">
        <v>725187</v>
      </c>
      <c r="D8" s="7">
        <v>586781</v>
      </c>
      <c r="E8" s="7">
        <v>128342</v>
      </c>
      <c r="F8" s="18">
        <f t="shared" si="0"/>
        <v>3.3649044811700654E-2</v>
      </c>
      <c r="G8" s="11">
        <v>10.862187278997631</v>
      </c>
      <c r="H8" s="15">
        <v>45375138.937535472</v>
      </c>
      <c r="I8" s="15">
        <v>3060334.2487959489</v>
      </c>
      <c r="J8" s="15">
        <v>48435473.186331421</v>
      </c>
      <c r="K8" s="9">
        <v>78045113117.747147</v>
      </c>
      <c r="L8" s="9">
        <v>85071580205.063202</v>
      </c>
      <c r="M8" s="9">
        <v>78045113117.747147</v>
      </c>
      <c r="N8" s="9">
        <v>163116693322.81039</v>
      </c>
      <c r="O8" s="7">
        <v>874531</v>
      </c>
      <c r="P8" s="13">
        <v>83.782045153630605</v>
      </c>
      <c r="Q8" s="13">
        <v>89.141243706626753</v>
      </c>
      <c r="R8" s="7">
        <v>10940953</v>
      </c>
      <c r="S8" s="7">
        <v>308143</v>
      </c>
      <c r="T8" s="7">
        <v>291135</v>
      </c>
      <c r="U8" s="7">
        <v>366175</v>
      </c>
      <c r="V8" s="7">
        <v>3168794</v>
      </c>
      <c r="W8" s="7">
        <v>11492236</v>
      </c>
      <c r="X8" s="7">
        <v>323248</v>
      </c>
      <c r="Y8" s="7">
        <v>7139217.8832192123</v>
      </c>
      <c r="Z8" s="7">
        <v>412097.04737985879</v>
      </c>
      <c r="AA8" s="7">
        <v>7551314.9305990711</v>
      </c>
      <c r="AB8" s="9">
        <v>15514592342.074051</v>
      </c>
      <c r="AC8" s="9">
        <v>11162822919.217091</v>
      </c>
      <c r="AD8" s="9">
        <v>26677415261.291149</v>
      </c>
      <c r="AE8" s="18">
        <f t="shared" si="1"/>
        <v>-2.2640223804024182E-2</v>
      </c>
    </row>
    <row r="9" spans="1:31" x14ac:dyDescent="0.25">
      <c r="A9">
        <v>2030</v>
      </c>
      <c r="B9" s="7">
        <v>11954872</v>
      </c>
      <c r="C9" s="7">
        <v>729472</v>
      </c>
      <c r="D9" s="7">
        <v>595085</v>
      </c>
      <c r="E9" s="7">
        <v>131694</v>
      </c>
      <c r="F9" s="18">
        <f t="shared" si="0"/>
        <v>2.6117716725623723E-2</v>
      </c>
      <c r="G9" s="11">
        <v>11.01592723033756</v>
      </c>
      <c r="H9" s="15">
        <v>52343583.645325653</v>
      </c>
      <c r="I9" s="15">
        <v>3454148.6442083209</v>
      </c>
      <c r="J9" s="15">
        <v>55797732.289533973</v>
      </c>
      <c r="K9" s="9">
        <v>93539724211.406967</v>
      </c>
      <c r="L9" s="9">
        <v>95598797274.016373</v>
      </c>
      <c r="M9" s="9">
        <v>93539724211.406967</v>
      </c>
      <c r="N9" s="9">
        <v>189138521485.42331</v>
      </c>
      <c r="O9" s="7">
        <v>881376</v>
      </c>
      <c r="P9" s="13">
        <v>84.193897935502775</v>
      </c>
      <c r="Q9" s="13">
        <v>89.33581808444977</v>
      </c>
      <c r="R9" s="7">
        <v>11073496</v>
      </c>
      <c r="S9" s="7">
        <v>314612</v>
      </c>
      <c r="T9" s="7">
        <v>297483</v>
      </c>
      <c r="U9" s="7">
        <v>373774</v>
      </c>
      <c r="V9" s="7">
        <v>3745307</v>
      </c>
      <c r="W9" s="7">
        <v>11620786</v>
      </c>
      <c r="X9" s="7">
        <v>334086</v>
      </c>
      <c r="Y9" s="7">
        <v>6968444.7077901736</v>
      </c>
      <c r="Z9" s="7">
        <v>393814.39541237149</v>
      </c>
      <c r="AA9" s="7">
        <v>7362259.1032025451</v>
      </c>
      <c r="AB9" s="9">
        <v>15494611093.659821</v>
      </c>
      <c r="AC9" s="9">
        <v>10527217068.953171</v>
      </c>
      <c r="AD9" s="9">
        <v>26021828162.61298</v>
      </c>
      <c r="AE9" s="18">
        <f t="shared" si="1"/>
        <v>-2.4574610855551071E-2</v>
      </c>
    </row>
    <row r="10" spans="1:31" x14ac:dyDescent="0.25">
      <c r="A10">
        <v>2031</v>
      </c>
      <c r="B10" s="7">
        <v>12091594</v>
      </c>
      <c r="C10" s="7">
        <v>733782</v>
      </c>
      <c r="D10" s="7">
        <v>602031</v>
      </c>
      <c r="E10" s="7">
        <v>135689</v>
      </c>
      <c r="F10" s="18">
        <f t="shared" si="0"/>
        <v>3.0335474660956461E-2</v>
      </c>
      <c r="G10" s="11">
        <v>11.221762821345139</v>
      </c>
      <c r="H10" s="15">
        <v>59142496.057428829</v>
      </c>
      <c r="I10" s="15">
        <v>3835453.2685324801</v>
      </c>
      <c r="J10" s="15">
        <v>62977949.325961307</v>
      </c>
      <c r="K10" s="9">
        <v>108868084647.6161</v>
      </c>
      <c r="L10" s="9">
        <v>105686373026.97459</v>
      </c>
      <c r="M10" s="9">
        <v>108868084647.6161</v>
      </c>
      <c r="N10" s="9">
        <v>214554457674.5907</v>
      </c>
      <c r="O10" s="7">
        <v>892071</v>
      </c>
      <c r="P10" s="13">
        <v>84.606612990809978</v>
      </c>
      <c r="Q10" s="13">
        <v>89.543711206843398</v>
      </c>
      <c r="R10" s="7">
        <v>11199523</v>
      </c>
      <c r="S10" s="7">
        <v>322906</v>
      </c>
      <c r="T10" s="7">
        <v>306859</v>
      </c>
      <c r="U10" s="7">
        <v>380304</v>
      </c>
      <c r="V10" s="7">
        <v>4328862</v>
      </c>
      <c r="W10" s="7">
        <v>11749728</v>
      </c>
      <c r="X10" s="7">
        <v>341866</v>
      </c>
      <c r="Y10" s="7">
        <v>6798912.4121031836</v>
      </c>
      <c r="Z10" s="7">
        <v>381304.62432415917</v>
      </c>
      <c r="AA10" s="7">
        <v>7180217.0364273433</v>
      </c>
      <c r="AB10" s="9">
        <v>15328360436.209169</v>
      </c>
      <c r="AC10" s="9">
        <v>10087575752.95821</v>
      </c>
      <c r="AD10" s="9">
        <v>25415936189.167358</v>
      </c>
      <c r="AE10" s="18">
        <f t="shared" si="1"/>
        <v>-2.3283989489875291E-2</v>
      </c>
    </row>
    <row r="11" spans="1:31" x14ac:dyDescent="0.25">
      <c r="A11">
        <v>2032</v>
      </c>
      <c r="B11" s="7">
        <v>12228417</v>
      </c>
      <c r="C11" s="7">
        <v>738118</v>
      </c>
      <c r="D11" s="7">
        <v>606349</v>
      </c>
      <c r="E11" s="7">
        <v>139464</v>
      </c>
      <c r="F11" s="18">
        <f>(E11-E10)/E10</f>
        <v>2.7820972960225222E-2</v>
      </c>
      <c r="G11" s="11">
        <v>11.404910382104241</v>
      </c>
      <c r="H11" s="15">
        <v>65774006.759667687</v>
      </c>
      <c r="I11" s="15">
        <v>4207885.0337164458</v>
      </c>
      <c r="J11" s="15">
        <v>69981891.793384135</v>
      </c>
      <c r="K11" s="9">
        <v>123964020942.83299</v>
      </c>
      <c r="L11" s="9">
        <v>115461353744.95959</v>
      </c>
      <c r="M11" s="9">
        <v>123964020942.83299</v>
      </c>
      <c r="N11" s="9">
        <v>239425374687.79251</v>
      </c>
      <c r="O11" s="7">
        <v>906450</v>
      </c>
      <c r="P11" s="13">
        <v>85.019963254442501</v>
      </c>
      <c r="Q11" s="13">
        <v>89.784440399360136</v>
      </c>
      <c r="R11" s="7">
        <v>11321967</v>
      </c>
      <c r="S11" s="7">
        <v>331840</v>
      </c>
      <c r="T11" s="7">
        <v>318313</v>
      </c>
      <c r="U11" s="7">
        <v>387898</v>
      </c>
      <c r="V11" s="7">
        <v>4916554</v>
      </c>
      <c r="W11" s="7">
        <v>11879536</v>
      </c>
      <c r="X11" s="7">
        <v>348881</v>
      </c>
      <c r="Y11" s="7">
        <v>6631510.7022388577</v>
      </c>
      <c r="Z11" s="7">
        <v>372431.76518396568</v>
      </c>
      <c r="AA11" s="7">
        <v>7003942.4674228234</v>
      </c>
      <c r="AB11" s="9">
        <v>15095936295.216829</v>
      </c>
      <c r="AC11" s="9">
        <v>9774980717.9850159</v>
      </c>
      <c r="AD11" s="9">
        <v>24870917013.201839</v>
      </c>
      <c r="AE11" s="18">
        <f t="shared" si="1"/>
        <v>-2.1443993717524916E-2</v>
      </c>
    </row>
    <row r="12" spans="1:31" x14ac:dyDescent="0.25">
      <c r="A12">
        <v>2033</v>
      </c>
      <c r="B12" s="7">
        <v>12366077</v>
      </c>
      <c r="C12" s="7">
        <v>742479</v>
      </c>
      <c r="D12" s="7">
        <v>609675</v>
      </c>
      <c r="E12" s="7">
        <v>144244</v>
      </c>
      <c r="F12" s="18">
        <f t="shared" si="0"/>
        <v>3.4274077898238969E-2</v>
      </c>
      <c r="G12" s="11">
        <v>11.664491495564841</v>
      </c>
      <c r="H12" s="15">
        <v>72240844.249494269</v>
      </c>
      <c r="I12" s="15">
        <v>4574547.3037088569</v>
      </c>
      <c r="J12" s="15">
        <v>76815391.553203121</v>
      </c>
      <c r="K12" s="9">
        <v>138828040051.1871</v>
      </c>
      <c r="L12" s="9">
        <v>125031779508.95599</v>
      </c>
      <c r="M12" s="9">
        <v>138828040051.1871</v>
      </c>
      <c r="N12" s="9">
        <v>263859819560.1431</v>
      </c>
      <c r="O12" s="7">
        <v>925675</v>
      </c>
      <c r="P12" s="13">
        <v>85.433740061621805</v>
      </c>
      <c r="Q12" s="13">
        <v>90.051201555621574</v>
      </c>
      <c r="R12" s="7">
        <v>11440402</v>
      </c>
      <c r="S12" s="7">
        <v>342079</v>
      </c>
      <c r="T12" s="7">
        <v>331597</v>
      </c>
      <c r="U12" s="7">
        <v>397496</v>
      </c>
      <c r="V12" s="7">
        <v>5507477</v>
      </c>
      <c r="W12" s="7">
        <v>12009883</v>
      </c>
      <c r="X12" s="7">
        <v>356194</v>
      </c>
      <c r="Y12" s="7">
        <v>6466837.4898265824</v>
      </c>
      <c r="Z12" s="7">
        <v>366662.26999241108</v>
      </c>
      <c r="AA12" s="7">
        <v>6833499.7598189944</v>
      </c>
      <c r="AB12" s="9">
        <v>14864019108.354139</v>
      </c>
      <c r="AC12" s="9">
        <v>9570425763.9963837</v>
      </c>
      <c r="AD12" s="9">
        <v>24434444872.350521</v>
      </c>
      <c r="AE12" s="18">
        <f t="shared" si="1"/>
        <v>-1.7549499305539586E-2</v>
      </c>
    </row>
    <row r="13" spans="1:31" x14ac:dyDescent="0.25">
      <c r="A13">
        <v>2034</v>
      </c>
      <c r="B13" s="7">
        <v>12504853</v>
      </c>
      <c r="C13" s="7">
        <v>746867</v>
      </c>
      <c r="D13" s="7">
        <v>612853</v>
      </c>
      <c r="E13" s="7">
        <v>147678</v>
      </c>
      <c r="F13" s="18">
        <f t="shared" si="0"/>
        <v>2.3806882781952803E-2</v>
      </c>
      <c r="G13" s="11">
        <v>11.809655019535221</v>
      </c>
      <c r="H13" s="15">
        <v>78557182.325220183</v>
      </c>
      <c r="I13" s="15">
        <v>4937097.559355245</v>
      </c>
      <c r="J13" s="15">
        <v>83494279.884575427</v>
      </c>
      <c r="K13" s="9">
        <v>153490779426.97839</v>
      </c>
      <c r="L13" s="9">
        <v>134472703966.2088</v>
      </c>
      <c r="M13" s="9">
        <v>153490779426.97839</v>
      </c>
      <c r="N13" s="9">
        <v>287963483393.18719</v>
      </c>
      <c r="O13" s="7">
        <v>947816</v>
      </c>
      <c r="P13" s="13">
        <v>85.845868000207602</v>
      </c>
      <c r="Q13" s="13">
        <v>90.364084379246606</v>
      </c>
      <c r="R13" s="7">
        <v>11557037</v>
      </c>
      <c r="S13" s="7">
        <v>351793</v>
      </c>
      <c r="T13" s="7">
        <v>346538</v>
      </c>
      <c r="U13" s="7">
        <v>408723</v>
      </c>
      <c r="V13" s="7">
        <v>6101827</v>
      </c>
      <c r="W13" s="7">
        <v>12140612</v>
      </c>
      <c r="X13" s="7">
        <v>364241</v>
      </c>
      <c r="Y13" s="7">
        <v>6316338.075725913</v>
      </c>
      <c r="Z13" s="7">
        <v>362550.25564638799</v>
      </c>
      <c r="AA13" s="7">
        <v>6678888.3313723011</v>
      </c>
      <c r="AB13" s="9">
        <v>14662739375.79129</v>
      </c>
      <c r="AC13" s="9">
        <v>9440924457.2528076</v>
      </c>
      <c r="AD13" s="9">
        <v>24103663833.044128</v>
      </c>
      <c r="AE13" s="18">
        <f t="shared" si="1"/>
        <v>-1.3537489434871394E-2</v>
      </c>
    </row>
    <row r="14" spans="1:31" x14ac:dyDescent="0.25">
      <c r="A14">
        <v>2035</v>
      </c>
      <c r="B14" s="7">
        <v>12638959</v>
      </c>
      <c r="C14" s="7">
        <v>751280</v>
      </c>
      <c r="D14" s="7">
        <v>621952</v>
      </c>
      <c r="E14" s="7">
        <v>152175</v>
      </c>
      <c r="F14" s="18">
        <f t="shared" si="0"/>
        <v>3.0451387478161947E-2</v>
      </c>
      <c r="G14" s="11">
        <v>12.04015299044803</v>
      </c>
      <c r="H14" s="15">
        <v>84724333.429194972</v>
      </c>
      <c r="I14" s="15">
        <v>5296833.8650978841</v>
      </c>
      <c r="J14" s="15">
        <v>90021167.294292852</v>
      </c>
      <c r="K14" s="9">
        <v>167979413205.0278</v>
      </c>
      <c r="L14" s="9">
        <v>143823330650.3233</v>
      </c>
      <c r="M14" s="9">
        <v>167979413205.0278</v>
      </c>
      <c r="N14" s="9">
        <v>311802743855.35107</v>
      </c>
      <c r="O14" s="7">
        <v>973224</v>
      </c>
      <c r="P14" s="13">
        <v>86.252141651855979</v>
      </c>
      <c r="Q14" s="13">
        <v>90.69855552267515</v>
      </c>
      <c r="R14" s="7">
        <v>11665735</v>
      </c>
      <c r="S14" s="7">
        <v>362501</v>
      </c>
      <c r="T14" s="7">
        <v>361912</v>
      </c>
      <c r="U14" s="7">
        <v>421725</v>
      </c>
      <c r="V14" s="7">
        <v>6705325</v>
      </c>
      <c r="W14" s="7">
        <v>12266073</v>
      </c>
      <c r="X14" s="7">
        <v>372886</v>
      </c>
      <c r="Y14" s="7">
        <v>6167151.1039747894</v>
      </c>
      <c r="Z14" s="7">
        <v>359736.30574263912</v>
      </c>
      <c r="AA14" s="7">
        <v>6526887.4097174276</v>
      </c>
      <c r="AB14" s="9">
        <v>14488633778.049379</v>
      </c>
      <c r="AC14" s="9">
        <v>9350626684.1144867</v>
      </c>
      <c r="AD14" s="9">
        <v>23839260462.163879</v>
      </c>
      <c r="AE14" s="18">
        <f t="shared" si="1"/>
        <v>-1.0969426586416871E-2</v>
      </c>
    </row>
    <row r="15" spans="1:31" x14ac:dyDescent="0.25">
      <c r="A15">
        <v>2036</v>
      </c>
      <c r="B15" s="7">
        <v>12769620</v>
      </c>
      <c r="C15" s="7">
        <v>755719</v>
      </c>
      <c r="D15" s="7">
        <v>629901</v>
      </c>
      <c r="E15" s="7">
        <v>156203</v>
      </c>
      <c r="F15" s="18">
        <f t="shared" si="0"/>
        <v>2.6469525217677016E-2</v>
      </c>
      <c r="G15" s="11">
        <v>12.232392193346399</v>
      </c>
      <c r="H15" s="15">
        <v>90742973.611129776</v>
      </c>
      <c r="I15" s="15">
        <v>5654248.4343654001</v>
      </c>
      <c r="J15" s="15">
        <v>96397222.045495182</v>
      </c>
      <c r="K15" s="9">
        <v>182329383246.43219</v>
      </c>
      <c r="L15" s="9">
        <v>153111133853.51019</v>
      </c>
      <c r="M15" s="9">
        <v>182329383246.43219</v>
      </c>
      <c r="N15" s="9">
        <v>335440517099.94238</v>
      </c>
      <c r="O15" s="7">
        <v>999878</v>
      </c>
      <c r="P15" s="13">
        <v>86.648301672250227</v>
      </c>
      <c r="Q15" s="13">
        <v>91.055900819900032</v>
      </c>
      <c r="R15" s="7">
        <v>11769742</v>
      </c>
      <c r="S15" s="7">
        <v>373138</v>
      </c>
      <c r="T15" s="7">
        <v>377387</v>
      </c>
      <c r="U15" s="7">
        <v>436403</v>
      </c>
      <c r="V15" s="7">
        <v>7316247</v>
      </c>
      <c r="W15" s="7">
        <v>12387112</v>
      </c>
      <c r="X15" s="7">
        <v>382508</v>
      </c>
      <c r="Y15" s="7">
        <v>6018640.1819348037</v>
      </c>
      <c r="Z15" s="7">
        <v>357414.56926751602</v>
      </c>
      <c r="AA15" s="7">
        <v>6376054.7512023197</v>
      </c>
      <c r="AB15" s="9">
        <v>14349970041.404421</v>
      </c>
      <c r="AC15" s="9">
        <v>9287803203.1869202</v>
      </c>
      <c r="AD15" s="9">
        <v>23637773244.591309</v>
      </c>
      <c r="AE15" s="18">
        <f t="shared" si="1"/>
        <v>-8.4519072180262549E-3</v>
      </c>
    </row>
    <row r="16" spans="1:31" x14ac:dyDescent="0.25">
      <c r="A16">
        <v>2037</v>
      </c>
      <c r="B16" s="7">
        <v>12982331</v>
      </c>
      <c r="C16" s="7">
        <v>760184</v>
      </c>
      <c r="D16" s="7">
        <v>551038</v>
      </c>
      <c r="E16" s="7">
        <v>161477</v>
      </c>
      <c r="F16" s="18">
        <f t="shared" si="0"/>
        <v>3.3763756137846261E-2</v>
      </c>
      <c r="G16" s="11">
        <v>12.43821313753285</v>
      </c>
      <c r="H16" s="15">
        <v>96632432.323684365</v>
      </c>
      <c r="I16" s="15">
        <v>6011659.7230601646</v>
      </c>
      <c r="J16" s="15">
        <v>102644092.0467445</v>
      </c>
      <c r="K16" s="9">
        <v>196695833135.39471</v>
      </c>
      <c r="L16" s="9">
        <v>162423027605.4606</v>
      </c>
      <c r="M16" s="9">
        <v>196695833135.39471</v>
      </c>
      <c r="N16" s="9">
        <v>359118860740.85529</v>
      </c>
      <c r="O16" s="7">
        <v>1041920</v>
      </c>
      <c r="P16" s="13">
        <v>87.146817932773402</v>
      </c>
      <c r="Q16" s="13">
        <v>91.631798026719906</v>
      </c>
      <c r="R16" s="7">
        <v>11940411</v>
      </c>
      <c r="S16" s="7">
        <v>387451</v>
      </c>
      <c r="T16" s="7">
        <v>396823</v>
      </c>
      <c r="U16" s="7">
        <v>455815</v>
      </c>
      <c r="V16" s="7">
        <v>7852601</v>
      </c>
      <c r="W16" s="7">
        <v>12583204</v>
      </c>
      <c r="X16" s="7">
        <v>399127</v>
      </c>
      <c r="Y16" s="7">
        <v>5889458.7125545889</v>
      </c>
      <c r="Z16" s="7">
        <v>357411.28869476449</v>
      </c>
      <c r="AA16" s="7">
        <v>6246870.0012493534</v>
      </c>
      <c r="AB16" s="9">
        <v>14366449888.962549</v>
      </c>
      <c r="AC16" s="9">
        <v>9311893751.9503784</v>
      </c>
      <c r="AD16" s="9">
        <v>23678343640.91296</v>
      </c>
      <c r="AE16" s="18">
        <f t="shared" si="1"/>
        <v>1.7163374866934473E-3</v>
      </c>
    </row>
    <row r="17" spans="1:31" x14ac:dyDescent="0.25">
      <c r="A17">
        <v>2038</v>
      </c>
      <c r="B17" s="7">
        <v>13086390</v>
      </c>
      <c r="C17" s="7">
        <v>764676</v>
      </c>
      <c r="D17" s="7">
        <v>665856</v>
      </c>
      <c r="E17" s="7">
        <v>165677</v>
      </c>
      <c r="F17" s="18">
        <f t="shared" si="0"/>
        <v>2.6009896146200386E-2</v>
      </c>
      <c r="G17" s="11">
        <v>12.66025236906435</v>
      </c>
      <c r="H17" s="15">
        <v>102387651.7731149</v>
      </c>
      <c r="I17" s="15">
        <v>6367921.4430307923</v>
      </c>
      <c r="J17" s="15">
        <v>108755573.2161456</v>
      </c>
      <c r="K17" s="9">
        <v>211011964351.42981</v>
      </c>
      <c r="L17" s="9">
        <v>171702535647.9856</v>
      </c>
      <c r="M17" s="9">
        <v>211011964351.42981</v>
      </c>
      <c r="N17" s="9">
        <v>382714499999.41541</v>
      </c>
      <c r="O17" s="7">
        <v>1068461</v>
      </c>
      <c r="P17" s="13">
        <v>87.501244499055886</v>
      </c>
      <c r="Q17" s="13">
        <v>91.999716414543911</v>
      </c>
      <c r="R17" s="7">
        <v>12017929</v>
      </c>
      <c r="S17" s="7">
        <v>396840</v>
      </c>
      <c r="T17" s="7">
        <v>412525</v>
      </c>
      <c r="U17" s="7">
        <v>472706</v>
      </c>
      <c r="V17" s="7">
        <v>8497777</v>
      </c>
      <c r="W17" s="7">
        <v>12676708</v>
      </c>
      <c r="X17" s="7">
        <v>409682</v>
      </c>
      <c r="Y17" s="7">
        <v>5755219.4494304964</v>
      </c>
      <c r="Z17" s="7">
        <v>356261.71997062769</v>
      </c>
      <c r="AA17" s="7">
        <v>6111481.1694011232</v>
      </c>
      <c r="AB17" s="9">
        <v>14316131216.035101</v>
      </c>
      <c r="AC17" s="9">
        <v>9279508042.5250244</v>
      </c>
      <c r="AD17" s="9">
        <v>23595639258.560059</v>
      </c>
      <c r="AE17" s="18">
        <f t="shared" si="1"/>
        <v>-3.4928280291531676E-3</v>
      </c>
    </row>
    <row r="18" spans="1:31" x14ac:dyDescent="0.25">
      <c r="A18">
        <v>2039</v>
      </c>
      <c r="B18" s="7">
        <v>13183639</v>
      </c>
      <c r="C18" s="7">
        <v>769195</v>
      </c>
      <c r="D18" s="7">
        <v>677287</v>
      </c>
      <c r="E18" s="7">
        <v>169978</v>
      </c>
      <c r="F18" s="18">
        <f t="shared" si="0"/>
        <v>2.5960151378887835E-2</v>
      </c>
      <c r="G18" s="11">
        <v>12.89310182112844</v>
      </c>
      <c r="H18" s="15">
        <v>107988711.6316044</v>
      </c>
      <c r="I18" s="15">
        <v>6720807.7898749476</v>
      </c>
      <c r="J18" s="15">
        <v>114709519.4214794</v>
      </c>
      <c r="K18" s="9">
        <v>225205323449.64859</v>
      </c>
      <c r="L18" s="9">
        <v>180891125600.8342</v>
      </c>
      <c r="M18" s="9">
        <v>225205323449.64859</v>
      </c>
      <c r="N18" s="9">
        <v>406096449050.48279</v>
      </c>
      <c r="O18" s="7">
        <v>1095257</v>
      </c>
      <c r="P18" s="13">
        <v>87.841276524637848</v>
      </c>
      <c r="Q18" s="13">
        <v>92.359559445865216</v>
      </c>
      <c r="R18" s="7">
        <v>12088382</v>
      </c>
      <c r="S18" s="7">
        <v>407100</v>
      </c>
      <c r="T18" s="7">
        <v>428385</v>
      </c>
      <c r="U18" s="7">
        <v>489312</v>
      </c>
      <c r="V18" s="7">
        <v>9153793</v>
      </c>
      <c r="W18" s="7">
        <v>12763584</v>
      </c>
      <c r="X18" s="7">
        <v>420055</v>
      </c>
      <c r="Y18" s="7">
        <v>5601059.8584895879</v>
      </c>
      <c r="Z18" s="7">
        <v>352886.34684415528</v>
      </c>
      <c r="AA18" s="7">
        <v>5953946.2053337432</v>
      </c>
      <c r="AB18" s="9">
        <v>14193359098.21875</v>
      </c>
      <c r="AC18" s="9">
        <v>9188589952.8486023</v>
      </c>
      <c r="AD18" s="9">
        <v>23381949051.067379</v>
      </c>
      <c r="AE18" s="18">
        <f t="shared" si="1"/>
        <v>-9.0563432145690549E-3</v>
      </c>
    </row>
    <row r="19" spans="1:31" x14ac:dyDescent="0.25">
      <c r="A19">
        <v>2040</v>
      </c>
      <c r="B19" s="7">
        <v>13267159</v>
      </c>
      <c r="C19" s="7">
        <v>773740</v>
      </c>
      <c r="D19" s="7">
        <v>695705</v>
      </c>
      <c r="E19" s="7">
        <v>172404</v>
      </c>
      <c r="F19" s="18">
        <f t="shared" si="0"/>
        <v>1.4272435256327289E-2</v>
      </c>
      <c r="G19" s="11">
        <v>12.99479413791604</v>
      </c>
      <c r="H19" s="15">
        <v>113435103.30965421</v>
      </c>
      <c r="I19" s="15">
        <v>7069256.6744544823</v>
      </c>
      <c r="J19" s="15">
        <v>120504359.9841087</v>
      </c>
      <c r="K19" s="9">
        <v>239250840186.1817</v>
      </c>
      <c r="L19" s="9">
        <v>189977741219.03189</v>
      </c>
      <c r="M19" s="9">
        <v>239250840186.1817</v>
      </c>
      <c r="N19" s="9">
        <v>429228581405.21362</v>
      </c>
      <c r="O19" s="7">
        <v>1120015</v>
      </c>
      <c r="P19" s="13">
        <v>88.16115635608196</v>
      </c>
      <c r="Q19" s="13">
        <v>92.735637469141039</v>
      </c>
      <c r="R19" s="7">
        <v>12147144</v>
      </c>
      <c r="S19" s="7">
        <v>415113</v>
      </c>
      <c r="T19" s="7">
        <v>444987</v>
      </c>
      <c r="U19" s="7">
        <v>505970</v>
      </c>
      <c r="V19" s="7">
        <v>9827498</v>
      </c>
      <c r="W19" s="7">
        <v>12836808</v>
      </c>
      <c r="X19" s="7">
        <v>430351</v>
      </c>
      <c r="Y19" s="7">
        <v>5446391.678049773</v>
      </c>
      <c r="Z19" s="7">
        <v>348448.88457953458</v>
      </c>
      <c r="AA19" s="7">
        <v>5794840.5626293076</v>
      </c>
      <c r="AB19" s="9">
        <v>14045516736.533079</v>
      </c>
      <c r="AC19" s="9">
        <v>9086615618.1976929</v>
      </c>
      <c r="AD19" s="9">
        <v>23132132354.73077</v>
      </c>
      <c r="AE19" s="18">
        <f t="shared" si="1"/>
        <v>-1.0684169048140357E-2</v>
      </c>
    </row>
    <row r="20" spans="1:31" x14ac:dyDescent="0.25">
      <c r="E20" s="18">
        <f>(E19-E3)/E3</f>
        <v>0.58929921274359776</v>
      </c>
      <c r="F20" s="18"/>
      <c r="O20" s="18">
        <f>(O19-O3)/O3</f>
        <v>0.33647280910889482</v>
      </c>
      <c r="P20" s="13">
        <f>AVERAGE(P2:P19)</f>
        <v>84.76155785909117</v>
      </c>
    </row>
    <row r="21" spans="1:31" x14ac:dyDescent="0.25">
      <c r="O21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F702-4720-4367-8FA2-FBCF350A61F6}">
  <dimension ref="A1:V79"/>
  <sheetViews>
    <sheetView showGridLines="0" zoomScale="85" zoomScaleNormal="85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D72" sqref="D72"/>
    </sheetView>
  </sheetViews>
  <sheetFormatPr defaultRowHeight="15" x14ac:dyDescent="0.25"/>
  <cols>
    <col min="1" max="1" width="54" bestFit="1" customWidth="1"/>
    <col min="2" max="2" width="11.7109375" bestFit="1" customWidth="1"/>
    <col min="3" max="3" width="17.28515625" bestFit="1" customWidth="1"/>
    <col min="4" max="6" width="19.7109375" bestFit="1" customWidth="1"/>
    <col min="7" max="19" width="21.85546875" bestFit="1" customWidth="1"/>
    <col min="20" max="20" width="23" bestFit="1" customWidth="1"/>
    <col min="22" max="22" width="18" bestFit="1" customWidth="1"/>
  </cols>
  <sheetData>
    <row r="1" spans="1:20" x14ac:dyDescent="0.25"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2" t="s">
        <v>0</v>
      </c>
    </row>
    <row r="2" spans="1:20" x14ac:dyDescent="0.25">
      <c r="A2" s="1" t="s">
        <v>1</v>
      </c>
    </row>
    <row r="3" spans="1:20" x14ac:dyDescent="0.25">
      <c r="A3" t="s">
        <v>2</v>
      </c>
    </row>
    <row r="4" spans="1:20" x14ac:dyDescent="0.25">
      <c r="A4" s="3" t="s">
        <v>59</v>
      </c>
      <c r="B4" s="7">
        <f>'75%'!E2-'50%'!E2</f>
        <v>0</v>
      </c>
      <c r="C4" s="7">
        <f>'75%'!E3-'50%'!E3</f>
        <v>8742</v>
      </c>
      <c r="D4" s="7">
        <f>'75%'!E4-'50%'!E4</f>
        <v>9831</v>
      </c>
      <c r="E4" s="7">
        <f>'75%'!E5-'50%'!E5</f>
        <v>10267</v>
      </c>
      <c r="F4" s="7">
        <f>'75%'!E6-'50%'!E6</f>
        <v>10341</v>
      </c>
      <c r="G4" s="7">
        <f>'75%'!E7-'50%'!E7</f>
        <v>10007</v>
      </c>
      <c r="H4" s="7">
        <f>'75%'!E8-'50%'!E8</f>
        <v>10681</v>
      </c>
      <c r="I4" s="7">
        <f>'75%'!E9-'50%'!E9</f>
        <v>10404</v>
      </c>
      <c r="J4" s="7">
        <f>'75%'!E10-'50%'!E10</f>
        <v>11452</v>
      </c>
      <c r="K4" s="7">
        <f>'75%'!E11-'50%'!E11</f>
        <v>11021</v>
      </c>
      <c r="L4" s="7">
        <f>'75%'!E12-'50%'!E12</f>
        <v>11515</v>
      </c>
      <c r="M4" s="7">
        <f>'75%'!E13-'50%'!E13</f>
        <v>11882</v>
      </c>
      <c r="N4" s="7">
        <f>'75%'!E14-'50%'!E14</f>
        <v>12037</v>
      </c>
      <c r="O4" s="7">
        <f>'75%'!E15-'50%'!E15</f>
        <v>12720</v>
      </c>
      <c r="P4" s="7">
        <f>'75%'!E16-'50%'!E16</f>
        <v>12391</v>
      </c>
      <c r="Q4" s="7">
        <f>'75%'!E17-'50%'!E17</f>
        <v>12022</v>
      </c>
      <c r="R4" s="7">
        <f>'75%'!E18-'50%'!E18</f>
        <v>12929</v>
      </c>
      <c r="S4" s="7">
        <f>'75%'!E19-'50%'!E19</f>
        <v>12813</v>
      </c>
      <c r="T4" s="7">
        <f>(SUM('75%'!E3:E19)-SUM('50%'!E3:E19))</f>
        <v>191055</v>
      </c>
    </row>
    <row r="5" spans="1:20" x14ac:dyDescent="0.25">
      <c r="A5" s="3" t="s">
        <v>60</v>
      </c>
      <c r="B5" s="7">
        <f>'50%'!E2-'25%'!E2</f>
        <v>0</v>
      </c>
      <c r="C5" s="7">
        <f>'50%'!E3-'25%'!E3</f>
        <v>9809</v>
      </c>
      <c r="D5" s="7">
        <f>'50%'!E4-'25%'!E4</f>
        <v>9640</v>
      </c>
      <c r="E5" s="7">
        <f>'50%'!E5-'25%'!E5</f>
        <v>9600</v>
      </c>
      <c r="F5" s="7">
        <f>'50%'!E6-'25%'!E6</f>
        <v>10415</v>
      </c>
      <c r="G5" s="7">
        <f>'50%'!E7-'25%'!E7</f>
        <v>10252</v>
      </c>
      <c r="H5" s="7">
        <f>'50%'!E8-'25%'!E8</f>
        <v>10531</v>
      </c>
      <c r="I5" s="7">
        <f>'50%'!E9-'25%'!E9</f>
        <v>11197</v>
      </c>
      <c r="J5" s="7">
        <f>'50%'!E10-'25%'!E10</f>
        <v>10820</v>
      </c>
      <c r="K5" s="7">
        <f>'50%'!E11-'25%'!E11</f>
        <v>10747</v>
      </c>
      <c r="L5" s="7">
        <f>'50%'!E12-'25%'!E12</f>
        <v>11715</v>
      </c>
      <c r="M5" s="7">
        <f>'50%'!E13-'25%'!E13</f>
        <v>11542</v>
      </c>
      <c r="N5" s="7">
        <f>'50%'!E14-'25%'!E14</f>
        <v>11395</v>
      </c>
      <c r="O5" s="7">
        <f>'50%'!E15-'25%'!E15</f>
        <v>12372</v>
      </c>
      <c r="P5" s="7">
        <f>'50%'!E16-'25%'!E16</f>
        <v>12425</v>
      </c>
      <c r="Q5" s="7">
        <f>'50%'!E17-'25%'!E17</f>
        <v>13347</v>
      </c>
      <c r="R5" s="7">
        <f>'50%'!E18-'25%'!E18</f>
        <v>13342</v>
      </c>
      <c r="S5" s="7">
        <f>'50%'!E19-'25%'!E19</f>
        <v>12629</v>
      </c>
      <c r="T5" s="7">
        <f>(SUM('50%'!E3:E19)-SUM('25%'!E3:E19))</f>
        <v>191778</v>
      </c>
    </row>
    <row r="6" spans="1:20" x14ac:dyDescent="0.25">
      <c r="A6" t="s">
        <v>3</v>
      </c>
    </row>
    <row r="7" spans="1:20" x14ac:dyDescent="0.25">
      <c r="A7" s="3" t="s">
        <v>4</v>
      </c>
      <c r="B7" s="7">
        <f>'75%'!O2-'50%'!N2</f>
        <v>0</v>
      </c>
      <c r="C7" s="7">
        <f>'75%'!O3-'50%'!N3</f>
        <v>8754</v>
      </c>
      <c r="D7" s="7">
        <f>'75%'!O4-'50%'!N4</f>
        <v>17867</v>
      </c>
      <c r="E7" s="7">
        <f>'75%'!O5-'50%'!N5</f>
        <v>26537</v>
      </c>
      <c r="F7" s="7">
        <f>'75%'!O6-'50%'!N6</f>
        <v>34691</v>
      </c>
      <c r="G7" s="7">
        <f>'75%'!O7-'50%'!N7</f>
        <v>41206</v>
      </c>
      <c r="H7" s="7">
        <f>'75%'!O8-'50%'!N8</f>
        <v>47495</v>
      </c>
      <c r="I7" s="7">
        <f>'75%'!O9-'50%'!N9</f>
        <v>53344</v>
      </c>
      <c r="J7" s="7">
        <f>'75%'!O10-'50%'!N10</f>
        <v>59281</v>
      </c>
      <c r="K7" s="7">
        <f>'75%'!O11-'50%'!N11</f>
        <v>62968</v>
      </c>
      <c r="L7" s="7">
        <f>'75%'!O12-'50%'!N12</f>
        <v>67190</v>
      </c>
      <c r="M7" s="7">
        <f>'75%'!O13-'50%'!N13</f>
        <v>71239</v>
      </c>
      <c r="N7" s="7">
        <f>'75%'!O14-'50%'!N14</f>
        <v>75694</v>
      </c>
      <c r="O7" s="7">
        <f>'75%'!O15-'50%'!N15</f>
        <v>78585</v>
      </c>
      <c r="P7" s="7">
        <f>'75%'!O16-'50%'!N16</f>
        <v>81769</v>
      </c>
      <c r="Q7" s="7">
        <f>'75%'!O17-'50%'!N17</f>
        <v>83661</v>
      </c>
      <c r="R7" s="7">
        <f>'75%'!O18-'50%'!N18</f>
        <v>85051</v>
      </c>
      <c r="S7" s="7">
        <f>'75%'!O19-'50%'!N19</f>
        <v>86564</v>
      </c>
      <c r="T7" s="7">
        <f>(SUM('75%'!O3:O19)-SUM('50%'!N3:N19))</f>
        <v>981896</v>
      </c>
    </row>
    <row r="8" spans="1:20" x14ac:dyDescent="0.25">
      <c r="A8" s="3" t="s">
        <v>5</v>
      </c>
      <c r="B8" s="7">
        <f>'50%'!N2-'25%'!N2</f>
        <v>0</v>
      </c>
      <c r="C8" s="7">
        <f>'50%'!N3-'25%'!N3</f>
        <v>10223</v>
      </c>
      <c r="D8" s="7">
        <f>'50%'!N4-'25%'!N4</f>
        <v>19353</v>
      </c>
      <c r="E8" s="7">
        <f>'50%'!N5-'25%'!N5</f>
        <v>27491</v>
      </c>
      <c r="F8" s="7">
        <f>'50%'!N6-'25%'!N6</f>
        <v>36800</v>
      </c>
      <c r="G8" s="7">
        <f>'50%'!N7-'25%'!N7</f>
        <v>44878</v>
      </c>
      <c r="H8" s="7">
        <f>'50%'!N8-'25%'!N8</f>
        <v>51540</v>
      </c>
      <c r="I8" s="7">
        <f>'50%'!N9-'25%'!N9</f>
        <v>57232</v>
      </c>
      <c r="J8" s="7">
        <f>'50%'!N10-'25%'!N10</f>
        <v>61116</v>
      </c>
      <c r="K8" s="7">
        <f>'50%'!N11-'25%'!N11</f>
        <v>64916</v>
      </c>
      <c r="L8" s="7">
        <f>'50%'!N12-'25%'!N12</f>
        <v>68694</v>
      </c>
      <c r="M8" s="7">
        <f>'50%'!N13-'25%'!N13</f>
        <v>71347</v>
      </c>
      <c r="N8" s="7">
        <f>'50%'!N14-'25%'!N14</f>
        <v>73462</v>
      </c>
      <c r="O8" s="7">
        <f>'50%'!N15-'25%'!N15</f>
        <v>76911</v>
      </c>
      <c r="P8" s="7">
        <f>'50%'!N16-'25%'!N16</f>
        <v>80661</v>
      </c>
      <c r="Q8" s="7">
        <f>'50%'!N17-'25%'!N17</f>
        <v>83118</v>
      </c>
      <c r="R8" s="7">
        <f>'50%'!N18-'25%'!N18</f>
        <v>86165</v>
      </c>
      <c r="S8" s="7">
        <f>'50%'!N19-'25%'!N19</f>
        <v>86548</v>
      </c>
      <c r="T8" s="7">
        <f>(SUM('50%'!N3:N19)-SUM('25%'!N3:N19))</f>
        <v>1000455</v>
      </c>
    </row>
    <row r="11" spans="1:20" x14ac:dyDescent="0.25">
      <c r="A11" s="3" t="s">
        <v>6</v>
      </c>
    </row>
    <row r="12" spans="1:20" x14ac:dyDescent="0.25">
      <c r="A12" s="3" t="s">
        <v>7</v>
      </c>
      <c r="B12" s="7">
        <v>398969</v>
      </c>
      <c r="C12" s="7">
        <v>344907</v>
      </c>
      <c r="D12" s="7">
        <v>317577</v>
      </c>
      <c r="E12" s="7">
        <v>305083</v>
      </c>
      <c r="F12" s="7">
        <v>301902</v>
      </c>
      <c r="G12" s="7">
        <v>302951</v>
      </c>
      <c r="H12" s="7">
        <v>308143</v>
      </c>
      <c r="I12" s="7">
        <v>314612</v>
      </c>
      <c r="J12" s="7">
        <v>322906</v>
      </c>
      <c r="K12" s="7">
        <v>331840</v>
      </c>
      <c r="L12" s="7">
        <v>342079</v>
      </c>
      <c r="M12" s="7">
        <v>351793</v>
      </c>
      <c r="N12" s="7">
        <v>362501</v>
      </c>
      <c r="O12" s="7">
        <v>373138</v>
      </c>
      <c r="P12" s="7">
        <v>387451</v>
      </c>
      <c r="Q12" s="7">
        <v>396840</v>
      </c>
      <c r="R12" s="7">
        <v>407100</v>
      </c>
      <c r="S12" s="7">
        <v>415113</v>
      </c>
      <c r="T12" s="8">
        <f>SUM(C12:S12)</f>
        <v>5885936</v>
      </c>
    </row>
    <row r="13" spans="1:20" x14ac:dyDescent="0.25">
      <c r="A13" s="3" t="s">
        <v>8</v>
      </c>
      <c r="B13" s="7">
        <v>299115</v>
      </c>
      <c r="C13" s="7">
        <v>315859</v>
      </c>
      <c r="D13" s="7">
        <v>309318</v>
      </c>
      <c r="E13" s="7">
        <v>298605</v>
      </c>
      <c r="F13" s="7">
        <v>290833</v>
      </c>
      <c r="G13" s="7">
        <v>288722</v>
      </c>
      <c r="H13" s="7">
        <v>291135</v>
      </c>
      <c r="I13" s="7">
        <v>297483</v>
      </c>
      <c r="J13" s="7">
        <v>306859</v>
      </c>
      <c r="K13" s="7">
        <v>318313</v>
      </c>
      <c r="L13" s="7">
        <v>331597</v>
      </c>
      <c r="M13" s="7">
        <v>346538</v>
      </c>
      <c r="N13" s="7">
        <v>361912</v>
      </c>
      <c r="O13" s="7">
        <v>377387</v>
      </c>
      <c r="P13" s="7">
        <v>396823</v>
      </c>
      <c r="Q13" s="7">
        <v>412525</v>
      </c>
      <c r="R13" s="7">
        <v>428385</v>
      </c>
      <c r="S13" s="7">
        <v>444987</v>
      </c>
      <c r="T13" s="8">
        <f>SUM(C13:S13)</f>
        <v>5817281</v>
      </c>
    </row>
    <row r="14" spans="1:20" x14ac:dyDescent="0.25">
      <c r="A14" s="3" t="s">
        <v>9</v>
      </c>
      <c r="B14" s="7">
        <v>104302</v>
      </c>
      <c r="C14" s="7">
        <v>194027</v>
      </c>
      <c r="D14" s="7">
        <v>263902</v>
      </c>
      <c r="E14" s="7">
        <v>310727</v>
      </c>
      <c r="F14" s="7">
        <v>338946</v>
      </c>
      <c r="G14" s="7">
        <v>356124</v>
      </c>
      <c r="H14" s="7">
        <v>366175</v>
      </c>
      <c r="I14" s="7">
        <v>373774</v>
      </c>
      <c r="J14" s="7">
        <v>380304</v>
      </c>
      <c r="K14" s="7">
        <v>387898</v>
      </c>
      <c r="L14" s="7">
        <v>397496</v>
      </c>
      <c r="M14" s="7">
        <v>408723</v>
      </c>
      <c r="N14" s="7">
        <v>421725</v>
      </c>
      <c r="O14" s="7">
        <v>436403</v>
      </c>
      <c r="P14" s="7">
        <v>455815</v>
      </c>
      <c r="Q14" s="7">
        <v>472706</v>
      </c>
      <c r="R14" s="7">
        <v>489312</v>
      </c>
      <c r="S14" s="7">
        <v>505970</v>
      </c>
      <c r="T14" s="8">
        <f>SUM(C14:S14)</f>
        <v>6560027</v>
      </c>
    </row>
    <row r="15" spans="1:20" x14ac:dyDescent="0.25">
      <c r="A15" s="3"/>
    </row>
    <row r="16" spans="1:20" x14ac:dyDescent="0.25">
      <c r="A16" s="3" t="s">
        <v>10</v>
      </c>
    </row>
    <row r="17" spans="1:20" x14ac:dyDescent="0.25">
      <c r="A17" s="3" t="s">
        <v>7</v>
      </c>
      <c r="B17" s="7">
        <v>398969</v>
      </c>
      <c r="C17" s="7">
        <v>336552</v>
      </c>
      <c r="D17" s="7">
        <v>302751</v>
      </c>
      <c r="E17" s="7">
        <v>286033</v>
      </c>
      <c r="F17" s="7">
        <v>279925</v>
      </c>
      <c r="G17" s="7">
        <v>280248</v>
      </c>
      <c r="H17" s="7">
        <v>284269</v>
      </c>
      <c r="I17" s="7">
        <v>290026</v>
      </c>
      <c r="J17" s="7">
        <v>296547</v>
      </c>
      <c r="K17" s="7">
        <v>304872</v>
      </c>
      <c r="L17" s="7">
        <v>314130</v>
      </c>
      <c r="M17" s="7">
        <v>323203</v>
      </c>
      <c r="N17" s="7">
        <v>333498</v>
      </c>
      <c r="O17" s="7">
        <v>342384</v>
      </c>
      <c r="P17" s="7">
        <v>356907</v>
      </c>
      <c r="Q17" s="7">
        <v>366680</v>
      </c>
      <c r="R17" s="7">
        <v>375933</v>
      </c>
      <c r="S17" s="7">
        <v>382830</v>
      </c>
      <c r="T17" s="8">
        <f>SUM(C17:S17)</f>
        <v>5456788</v>
      </c>
    </row>
    <row r="18" spans="1:20" x14ac:dyDescent="0.25">
      <c r="A18" s="3" t="s">
        <v>8</v>
      </c>
      <c r="B18" s="7">
        <v>299115</v>
      </c>
      <c r="C18" s="7">
        <v>315882</v>
      </c>
      <c r="D18" s="7">
        <v>306866</v>
      </c>
      <c r="E18" s="7">
        <v>291594</v>
      </c>
      <c r="F18" s="7">
        <v>280461</v>
      </c>
      <c r="G18" s="7">
        <v>274760</v>
      </c>
      <c r="H18" s="7">
        <v>274061</v>
      </c>
      <c r="I18" s="7">
        <v>278459</v>
      </c>
      <c r="J18" s="7">
        <v>285881</v>
      </c>
      <c r="K18" s="7">
        <v>295432</v>
      </c>
      <c r="L18" s="7">
        <v>307310</v>
      </c>
      <c r="M18" s="7">
        <v>320362</v>
      </c>
      <c r="N18" s="7">
        <v>333130</v>
      </c>
      <c r="O18" s="7">
        <v>348716</v>
      </c>
      <c r="P18" s="7">
        <v>365716</v>
      </c>
      <c r="Q18" s="7">
        <v>381205</v>
      </c>
      <c r="R18" s="7">
        <v>396356</v>
      </c>
      <c r="S18" s="7">
        <v>412669</v>
      </c>
      <c r="T18" s="8">
        <f t="shared" ref="T18:T19" si="0">SUM(C18:S18)</f>
        <v>5468860</v>
      </c>
    </row>
    <row r="19" spans="1:20" x14ac:dyDescent="0.25">
      <c r="A19" s="3" t="s">
        <v>9</v>
      </c>
      <c r="B19" s="7">
        <v>104302</v>
      </c>
      <c r="C19" s="7">
        <v>193628</v>
      </c>
      <c r="D19" s="7">
        <v>262942</v>
      </c>
      <c r="E19" s="7">
        <v>309128</v>
      </c>
      <c r="F19" s="7">
        <v>334918</v>
      </c>
      <c r="G19" s="7">
        <v>348830</v>
      </c>
      <c r="H19" s="7">
        <v>355968</v>
      </c>
      <c r="I19" s="7">
        <v>359425</v>
      </c>
      <c r="J19" s="7">
        <v>362852</v>
      </c>
      <c r="K19" s="7">
        <v>368222</v>
      </c>
      <c r="L19" s="7">
        <v>374682</v>
      </c>
      <c r="M19" s="7">
        <v>383140</v>
      </c>
      <c r="N19" s="7">
        <v>393940</v>
      </c>
      <c r="O19" s="7">
        <v>406282</v>
      </c>
      <c r="P19" s="7">
        <v>423738</v>
      </c>
      <c r="Q19" s="7">
        <v>437451</v>
      </c>
      <c r="R19" s="7">
        <v>453116</v>
      </c>
      <c r="S19" s="7">
        <v>468553</v>
      </c>
      <c r="T19" s="8">
        <f t="shared" si="0"/>
        <v>6236815</v>
      </c>
    </row>
    <row r="20" spans="1:20" x14ac:dyDescent="0.25">
      <c r="A20" s="4"/>
    </row>
    <row r="21" spans="1:20" x14ac:dyDescent="0.25">
      <c r="A21" s="3" t="s">
        <v>11</v>
      </c>
    </row>
    <row r="22" spans="1:20" x14ac:dyDescent="0.25">
      <c r="A22" s="3" t="s">
        <v>7</v>
      </c>
      <c r="B22" s="7">
        <v>398969</v>
      </c>
      <c r="C22" s="7">
        <v>326967</v>
      </c>
      <c r="D22" s="7">
        <v>287365</v>
      </c>
      <c r="E22" s="7">
        <v>267465</v>
      </c>
      <c r="F22" s="7">
        <v>258611</v>
      </c>
      <c r="G22" s="7">
        <v>257312</v>
      </c>
      <c r="H22" s="7">
        <v>259847</v>
      </c>
      <c r="I22" s="7">
        <v>264382</v>
      </c>
      <c r="J22" s="7">
        <v>270956</v>
      </c>
      <c r="K22" s="7">
        <v>278852</v>
      </c>
      <c r="L22" s="7">
        <v>286977</v>
      </c>
      <c r="M22" s="7">
        <v>295404</v>
      </c>
      <c r="N22" s="7">
        <v>305018</v>
      </c>
      <c r="O22" s="7">
        <v>313008</v>
      </c>
      <c r="P22" s="7">
        <v>326434</v>
      </c>
      <c r="Q22" s="7">
        <v>334936</v>
      </c>
      <c r="R22" s="7">
        <v>343572</v>
      </c>
      <c r="S22" s="7">
        <v>351774</v>
      </c>
      <c r="T22" s="8">
        <f>SUM(C22:S22)</f>
        <v>5028880</v>
      </c>
    </row>
    <row r="23" spans="1:20" x14ac:dyDescent="0.25">
      <c r="A23" s="3" t="s">
        <v>8</v>
      </c>
      <c r="B23" s="7">
        <v>299115</v>
      </c>
      <c r="C23" s="7">
        <v>315087</v>
      </c>
      <c r="D23" s="7">
        <v>302457</v>
      </c>
      <c r="E23" s="7">
        <v>282885</v>
      </c>
      <c r="F23" s="7">
        <v>268013</v>
      </c>
      <c r="G23" s="7">
        <v>258699</v>
      </c>
      <c r="H23" s="7">
        <v>255954</v>
      </c>
      <c r="I23" s="7">
        <v>257940</v>
      </c>
      <c r="J23" s="7">
        <v>263594</v>
      </c>
      <c r="K23" s="7">
        <v>272499</v>
      </c>
      <c r="L23" s="7">
        <v>282897</v>
      </c>
      <c r="M23" s="7">
        <v>294279</v>
      </c>
      <c r="N23" s="7">
        <v>306981</v>
      </c>
      <c r="O23" s="7">
        <v>321092</v>
      </c>
      <c r="P23" s="7">
        <v>336276</v>
      </c>
      <c r="Q23" s="7">
        <v>350828</v>
      </c>
      <c r="R23" s="7">
        <v>364326</v>
      </c>
      <c r="S23" s="7">
        <v>378415</v>
      </c>
      <c r="T23" s="8">
        <f t="shared" ref="T23:T24" si="1">SUM(C23:S23)</f>
        <v>5112222</v>
      </c>
    </row>
    <row r="24" spans="1:20" x14ac:dyDescent="0.25">
      <c r="A24" s="3" t="s">
        <v>9</v>
      </c>
      <c r="B24" s="7">
        <v>104302</v>
      </c>
      <c r="C24" s="7">
        <v>193971</v>
      </c>
      <c r="D24" s="7">
        <v>263420</v>
      </c>
      <c r="E24" s="7">
        <v>308662</v>
      </c>
      <c r="F24" s="7">
        <v>331118</v>
      </c>
      <c r="G24" s="7">
        <v>341452</v>
      </c>
      <c r="H24" s="7">
        <v>344752</v>
      </c>
      <c r="I24" s="7">
        <v>345382</v>
      </c>
      <c r="J24" s="7">
        <v>345790</v>
      </c>
      <c r="K24" s="7">
        <v>347263</v>
      </c>
      <c r="L24" s="7">
        <v>351478</v>
      </c>
      <c r="M24" s="7">
        <v>358388</v>
      </c>
      <c r="N24" s="7">
        <v>366966</v>
      </c>
      <c r="O24" s="7">
        <v>377220</v>
      </c>
      <c r="P24" s="7">
        <v>393139</v>
      </c>
      <c r="Q24" s="7">
        <v>405178</v>
      </c>
      <c r="R24" s="7">
        <v>418815</v>
      </c>
      <c r="S24" s="7">
        <v>433464</v>
      </c>
      <c r="T24" s="8">
        <f t="shared" si="1"/>
        <v>5926458</v>
      </c>
    </row>
    <row r="27" spans="1:20" x14ac:dyDescent="0.25">
      <c r="A27" s="1" t="s">
        <v>12</v>
      </c>
    </row>
    <row r="28" spans="1:20" x14ac:dyDescent="0.25">
      <c r="A28" s="4" t="s">
        <v>13</v>
      </c>
    </row>
    <row r="29" spans="1:20" x14ac:dyDescent="0.25">
      <c r="A29" s="3" t="s">
        <v>14</v>
      </c>
      <c r="B29" s="9">
        <f>'75%'!AB2-'50%'!AA2</f>
        <v>0</v>
      </c>
      <c r="C29" s="9">
        <f>'75%'!AB3-'50%'!AA3</f>
        <v>85846095.273274422</v>
      </c>
      <c r="D29" s="9">
        <f>'75%'!AB4-'50%'!AA4</f>
        <v>177524397.81892014</v>
      </c>
      <c r="E29" s="9">
        <f>'75%'!AB5-'50%'!AA5</f>
        <v>248904997.86955833</v>
      </c>
      <c r="F29" s="9">
        <f>'75%'!AB6-'50%'!AA6</f>
        <v>342307050.97815895</v>
      </c>
      <c r="G29" s="9">
        <f>'75%'!AB7-'50%'!AA7</f>
        <v>442881687.80563164</v>
      </c>
      <c r="H29" s="9">
        <f>'75%'!AB8-'50%'!AA8</f>
        <v>532237028.25799179</v>
      </c>
      <c r="I29" s="9">
        <f>'75%'!AB9-'50%'!AA9</f>
        <v>639576058.77078056</v>
      </c>
      <c r="J29" s="9">
        <f>'75%'!AB10-'50%'!AA10</f>
        <v>765020308.41024971</v>
      </c>
      <c r="K29" s="9">
        <f>'75%'!AB11-'50%'!AA11</f>
        <v>849224912.99474907</v>
      </c>
      <c r="L29" s="9">
        <f>'75%'!AB12-'50%'!AA12</f>
        <v>902445706.72002983</v>
      </c>
      <c r="M29" s="9">
        <f>'75%'!AB13-'50%'!AA13</f>
        <v>979066687.47211075</v>
      </c>
      <c r="N29" s="9">
        <f>'75%'!AB14-'50%'!AA14</f>
        <v>1014914152.1401691</v>
      </c>
      <c r="O29" s="9">
        <f>'75%'!AB15-'50%'!AA15</f>
        <v>1073850520.5563717</v>
      </c>
      <c r="P29" s="9">
        <f>'75%'!AB16-'50%'!AA16</f>
        <v>1089789195.6941795</v>
      </c>
      <c r="Q29" s="9">
        <f>'75%'!AB17-'50%'!AA17</f>
        <v>1110833837.277071</v>
      </c>
      <c r="R29" s="9">
        <f>'75%'!AB18-'50%'!AA18</f>
        <v>1119794600.7671204</v>
      </c>
      <c r="S29" s="9">
        <f>'75%'!AB19-'50%'!AA19</f>
        <v>1111052133.5623493</v>
      </c>
      <c r="T29" s="9">
        <f>(SUM('75%'!AB3:AB19)-SUM('50%'!AA3:AA19))</f>
        <v>12485269372.368713</v>
      </c>
    </row>
    <row r="30" spans="1:20" x14ac:dyDescent="0.25">
      <c r="A30" s="3" t="s">
        <v>15</v>
      </c>
      <c r="B30" s="9">
        <f>'50%'!AA2-'25%'!AA2</f>
        <v>0</v>
      </c>
      <c r="C30" s="9">
        <f>'50%'!AA3-'25%'!AA3</f>
        <v>91903073.105652809</v>
      </c>
      <c r="D30" s="9">
        <f>'50%'!AA4-'25%'!AA4</f>
        <v>154064757.66157913</v>
      </c>
      <c r="E30" s="9">
        <f>'50%'!AA5-'25%'!AA5</f>
        <v>254780553.42201042</v>
      </c>
      <c r="F30" s="9">
        <f>'50%'!AA6-'25%'!AA6</f>
        <v>367126698.65054131</v>
      </c>
      <c r="G30" s="9">
        <f>'50%'!AA7-'25%'!AA7</f>
        <v>509224409.60692978</v>
      </c>
      <c r="H30" s="9">
        <f>'50%'!AA8-'25%'!AA8</f>
        <v>661449284.56427002</v>
      </c>
      <c r="I30" s="9">
        <f>'50%'!AA9-'25%'!AA9</f>
        <v>771590406.15187073</v>
      </c>
      <c r="J30" s="9">
        <f>'50%'!AA10-'25%'!AA10</f>
        <v>851693219.16189957</v>
      </c>
      <c r="K30" s="9">
        <f>'50%'!AA11-'25%'!AA11</f>
        <v>927242045.22034073</v>
      </c>
      <c r="L30" s="9">
        <f>'50%'!AA12-'25%'!AA12</f>
        <v>987563245.60103989</v>
      </c>
      <c r="M30" s="9">
        <f>'50%'!AA13-'25%'!AA13</f>
        <v>1004168144.5769901</v>
      </c>
      <c r="N30" s="9">
        <f>'50%'!AA14-'25%'!AA14</f>
        <v>1025355962.9847107</v>
      </c>
      <c r="O30" s="9">
        <f>'50%'!AA15-'25%'!AA15</f>
        <v>1032972537.1736984</v>
      </c>
      <c r="P30" s="9">
        <f>'50%'!AA16-'25%'!AA16</f>
        <v>1056026648.1300602</v>
      </c>
      <c r="Q30" s="9">
        <f>'50%'!AA17-'25%'!AA17</f>
        <v>1068864061.6680603</v>
      </c>
      <c r="R30" s="9">
        <f>'50%'!AA18-'25%'!AA18</f>
        <v>1069744799.7026405</v>
      </c>
      <c r="S30" s="9">
        <f>'50%'!AA19-'25%'!AA19</f>
        <v>1056902511.614069</v>
      </c>
      <c r="T30" s="9">
        <f>(SUM('50%'!AA3:AA19)-SUM('25%'!AA3:AA19))</f>
        <v>12890672358.996368</v>
      </c>
    </row>
    <row r="31" spans="1:20" x14ac:dyDescent="0.25">
      <c r="A31" t="s">
        <v>16</v>
      </c>
    </row>
    <row r="32" spans="1:20" x14ac:dyDescent="0.25">
      <c r="A32" s="3" t="s">
        <v>17</v>
      </c>
      <c r="B32" s="9">
        <f>'75%'!AC2-'50%'!AB2</f>
        <v>0</v>
      </c>
      <c r="C32" s="9">
        <f>'75%'!AC3-'50%'!AB3</f>
        <v>70410679.492988586</v>
      </c>
      <c r="D32" s="9">
        <f>'75%'!AC4-'50%'!AB4</f>
        <v>179351803.74855995</v>
      </c>
      <c r="E32" s="9">
        <f>'75%'!AC5-'50%'!AB5</f>
        <v>333166755.71580124</v>
      </c>
      <c r="F32" s="9">
        <f>'75%'!AC6-'50%'!AB6</f>
        <v>455527875.8151207</v>
      </c>
      <c r="G32" s="9">
        <f>'75%'!AC7-'50%'!AB7</f>
        <v>559979233.07249069</v>
      </c>
      <c r="H32" s="9">
        <f>'75%'!AC8-'50%'!AB8</f>
        <v>634303406.82201004</v>
      </c>
      <c r="I32" s="9">
        <f>'75%'!AC9-'50%'!AB9</f>
        <v>671901803.49649048</v>
      </c>
      <c r="J32" s="9">
        <f>'75%'!AC10-'50%'!AB10</f>
        <v>704321140.00323868</v>
      </c>
      <c r="K32" s="9">
        <f>'75%'!AC11-'50%'!AB11</f>
        <v>710900222.34851074</v>
      </c>
      <c r="L32" s="9">
        <f>'75%'!AC12-'50%'!AB12</f>
        <v>722252735.56977844</v>
      </c>
      <c r="M32" s="9">
        <f>'75%'!AC13-'50%'!AB13</f>
        <v>716307660.6605835</v>
      </c>
      <c r="N32" s="9">
        <f>'75%'!AC14-'50%'!AB14</f>
        <v>732732420.02478027</v>
      </c>
      <c r="O32" s="9">
        <f>'75%'!AC15-'50%'!AB15</f>
        <v>722315591.58964539</v>
      </c>
      <c r="P32" s="9">
        <f>'75%'!AC16-'50%'!AB16</f>
        <v>736715993.36868286</v>
      </c>
      <c r="Q32" s="9">
        <f>'75%'!AC17-'50%'!AB17</f>
        <v>722843387.87487888</v>
      </c>
      <c r="R32" s="9">
        <f>'75%'!AC18-'50%'!AB18</f>
        <v>711325530.30410767</v>
      </c>
      <c r="S32" s="9">
        <f>'75%'!AC19-'50%'!AB19</f>
        <v>691800306.57461548</v>
      </c>
      <c r="T32" s="9">
        <f>(SUM('75%'!AC3:AC19)-SUM('50%'!AB3:AB19))</f>
        <v>10076156546.482269</v>
      </c>
    </row>
    <row r="33" spans="1:22" x14ac:dyDescent="0.25">
      <c r="A33" s="3" t="s">
        <v>18</v>
      </c>
      <c r="B33" s="9">
        <f>'50%'!AB2-'25%'!AB2</f>
        <v>0</v>
      </c>
      <c r="C33" s="9">
        <f>'50%'!AB3-'25%'!AB3</f>
        <v>87904732.644008636</v>
      </c>
      <c r="D33" s="9">
        <f>'50%'!AB4-'25%'!AB4</f>
        <v>246761413.246521</v>
      </c>
      <c r="E33" s="9">
        <f>'50%'!AB5-'25%'!AB5</f>
        <v>362370517.05015945</v>
      </c>
      <c r="F33" s="9">
        <f>'50%'!AB6-'25%'!AB6</f>
        <v>469858013.05729103</v>
      </c>
      <c r="G33" s="9">
        <f>'50%'!AB7-'25%'!AB7</f>
        <v>570831436.63158989</v>
      </c>
      <c r="H33" s="9">
        <f>'50%'!AB8-'25%'!AB8</f>
        <v>625443110.63710022</v>
      </c>
      <c r="I33" s="9">
        <f>'50%'!AB9-'25%'!AB9</f>
        <v>685451777.53518677</v>
      </c>
      <c r="J33" s="9">
        <f>'50%'!AB10-'25%'!AB10</f>
        <v>723412267.89932251</v>
      </c>
      <c r="K33" s="9">
        <f>'50%'!AB11-'25%'!AB11</f>
        <v>720426690.35641479</v>
      </c>
      <c r="L33" s="9">
        <f>'50%'!AB12-'25%'!AB12</f>
        <v>717290336.0609436</v>
      </c>
      <c r="M33" s="9">
        <f>'50%'!AB13-'25%'!AB13</f>
        <v>738184205.13446045</v>
      </c>
      <c r="N33" s="9">
        <f>'50%'!AB14-'25%'!AB14</f>
        <v>730821673.2167511</v>
      </c>
      <c r="O33" s="9">
        <f>'50%'!AB15-'25%'!AB15</f>
        <v>741551327.6605072</v>
      </c>
      <c r="P33" s="9">
        <f>'50%'!AB16-'25%'!AB16</f>
        <v>746430593.50509644</v>
      </c>
      <c r="Q33" s="9">
        <f>'50%'!AB17-'25%'!AB17</f>
        <v>743451911.07797146</v>
      </c>
      <c r="R33" s="9">
        <f>'50%'!AB18-'25%'!AB18</f>
        <v>742337928.9697876</v>
      </c>
      <c r="S33" s="9">
        <f>'50%'!AB19-'25%'!AB19</f>
        <v>732850251.41159058</v>
      </c>
      <c r="T33" s="9">
        <f>(SUM('50%'!AB3:AB19)-SUM('25%'!AB3:AB19))</f>
        <v>10385378186.094696</v>
      </c>
    </row>
    <row r="34" spans="1:22" x14ac:dyDescent="0.25">
      <c r="A34" s="3"/>
    </row>
    <row r="35" spans="1:22" x14ac:dyDescent="0.25">
      <c r="A35" s="4" t="s">
        <v>19</v>
      </c>
    </row>
    <row r="36" spans="1:22" x14ac:dyDescent="0.25">
      <c r="A36" s="3" t="s">
        <v>20</v>
      </c>
      <c r="B36" s="10">
        <f>'75%'!AD2-'50%'!AC2</f>
        <v>0</v>
      </c>
      <c r="C36" s="10">
        <f>'75%'!AD3-'50%'!AC3</f>
        <v>156256774.76626968</v>
      </c>
      <c r="D36" s="10">
        <f>'75%'!AD4-'50%'!AC4</f>
        <v>356876201.56748962</v>
      </c>
      <c r="E36" s="10">
        <f>'75%'!AD5-'50%'!AC5</f>
        <v>582071753.58533859</v>
      </c>
      <c r="F36" s="10">
        <f>'75%'!AD6-'50%'!AC6</f>
        <v>797834926.79327011</v>
      </c>
      <c r="G36" s="10">
        <f>'75%'!AD7-'50%'!AC7</f>
        <v>1002860920.8781319</v>
      </c>
      <c r="H36" s="10">
        <f>'75%'!AD8-'50%'!AC8</f>
        <v>1166540435.0800285</v>
      </c>
      <c r="I36" s="10">
        <f>'75%'!AD9-'50%'!AC9</f>
        <v>1311477862.2672501</v>
      </c>
      <c r="J36" s="10">
        <f>'75%'!AD10-'50%'!AC10</f>
        <v>1469341448.4134789</v>
      </c>
      <c r="K36" s="10">
        <f>'75%'!AD11-'50%'!AC11</f>
        <v>1560125135.3432579</v>
      </c>
      <c r="L36" s="10">
        <f>'75%'!AD12-'50%'!AC12</f>
        <v>1624698442.2897911</v>
      </c>
      <c r="M36" s="10">
        <f>'75%'!AD13-'50%'!AC13</f>
        <v>1695374348.1326866</v>
      </c>
      <c r="N36" s="10">
        <f>'75%'!AD14-'50%'!AC14</f>
        <v>1747646572.164978</v>
      </c>
      <c r="O36" s="10">
        <f>'75%'!AD15-'50%'!AC15</f>
        <v>1796166112.1459999</v>
      </c>
      <c r="P36" s="10">
        <f>'75%'!AD16-'50%'!AC16</f>
        <v>1826505189.0628586</v>
      </c>
      <c r="Q36" s="10">
        <f>'75%'!AD17-'50%'!AC17</f>
        <v>1833677225.1519203</v>
      </c>
      <c r="R36" s="10">
        <f>'75%'!AD18-'50%'!AC18</f>
        <v>1831120131.071228</v>
      </c>
      <c r="S36" s="10">
        <f>'75%'!AD19-'50%'!AC19</f>
        <v>1802852440.1370201</v>
      </c>
      <c r="T36" s="10">
        <f>(SUM('75%'!AD3:AD19)-SUM('50%'!AC3:AC19))</f>
        <v>22561425918.851013</v>
      </c>
      <c r="V36" s="10"/>
    </row>
    <row r="37" spans="1:22" x14ac:dyDescent="0.25">
      <c r="A37" s="3" t="s">
        <v>21</v>
      </c>
      <c r="B37" s="10">
        <f>'50%'!AC2-'25%'!AC2</f>
        <v>0</v>
      </c>
      <c r="C37" s="10">
        <f>'50%'!AC3-'25%'!AC3</f>
        <v>179807805.74964905</v>
      </c>
      <c r="D37" s="10">
        <f>'50%'!AC4-'25%'!AC4</f>
        <v>400826170.90808868</v>
      </c>
      <c r="E37" s="10">
        <f>'50%'!AC5-'25%'!AC5</f>
        <v>617151070.47216797</v>
      </c>
      <c r="F37" s="10">
        <f>'50%'!AC6-'25%'!AC6</f>
        <v>836984711.70783997</v>
      </c>
      <c r="G37" s="10">
        <f>'50%'!AC7-'25%'!AC7</f>
        <v>1080055846.2385101</v>
      </c>
      <c r="H37" s="10">
        <f>'50%'!AC8-'25%'!AC8</f>
        <v>1286892395.2013512</v>
      </c>
      <c r="I37" s="10">
        <f>'50%'!AC9-'25%'!AC9</f>
        <v>1457042183.6870689</v>
      </c>
      <c r="J37" s="10">
        <f>'50%'!AC10-'25%'!AC10</f>
        <v>1575105487.0611877</v>
      </c>
      <c r="K37" s="10">
        <f>'50%'!AC11-'25%'!AC11</f>
        <v>1647668735.5767822</v>
      </c>
      <c r="L37" s="10">
        <f>'50%'!AC12-'25%'!AC12</f>
        <v>1704853581.6619911</v>
      </c>
      <c r="M37" s="10">
        <f>'50%'!AC13-'25%'!AC13</f>
        <v>1742352349.7114906</v>
      </c>
      <c r="N37" s="10">
        <f>'50%'!AC14-'25%'!AC14</f>
        <v>1756177636.2014809</v>
      </c>
      <c r="O37" s="10">
        <f>'50%'!AC15-'25%'!AC15</f>
        <v>1774523864.8341599</v>
      </c>
      <c r="P37" s="10">
        <f>'50%'!AC16-'25%'!AC16</f>
        <v>1802457241.6352005</v>
      </c>
      <c r="Q37" s="10">
        <f>'50%'!AC17-'25%'!AC17</f>
        <v>1812315972.7460289</v>
      </c>
      <c r="R37" s="10">
        <f>'50%'!AC18-'25%'!AC18</f>
        <v>1812082728.6724205</v>
      </c>
      <c r="S37" s="10">
        <f>'50%'!AC19-'25%'!AC19</f>
        <v>1789752763.025631</v>
      </c>
      <c r="T37" s="10">
        <f>(SUM('50%'!AC3:AC19)-SUM('25%'!AC3:AC19))</f>
        <v>23276050545.091064</v>
      </c>
      <c r="V37" s="10"/>
    </row>
    <row r="38" spans="1:22" x14ac:dyDescent="0.25">
      <c r="A38" s="3"/>
    </row>
    <row r="39" spans="1:22" x14ac:dyDescent="0.25">
      <c r="A39" s="4" t="s">
        <v>22</v>
      </c>
    </row>
    <row r="40" spans="1:22" x14ac:dyDescent="0.25">
      <c r="A40" s="3" t="s">
        <v>23</v>
      </c>
      <c r="B40" s="9" t="e">
        <f>B36/B4</f>
        <v>#DIV/0!</v>
      </c>
      <c r="C40" s="9">
        <f>C36/C4</f>
        <v>17874.259296072945</v>
      </c>
      <c r="D40" s="9">
        <f t="shared" ref="D40:S40" si="2">D36/D4</f>
        <v>36301.10889711012</v>
      </c>
      <c r="E40" s="9">
        <f t="shared" si="2"/>
        <v>56693.459977144114</v>
      </c>
      <c r="F40" s="9">
        <f t="shared" si="2"/>
        <v>77152.589381420563</v>
      </c>
      <c r="G40" s="9">
        <f t="shared" si="2"/>
        <v>100215.94092916277</v>
      </c>
      <c r="H40" s="9">
        <f t="shared" si="2"/>
        <v>109216.40624286383</v>
      </c>
      <c r="I40" s="9">
        <f t="shared" si="2"/>
        <v>126055.15784960112</v>
      </c>
      <c r="J40" s="9">
        <f t="shared" si="2"/>
        <v>128304.35281291293</v>
      </c>
      <c r="K40" s="9">
        <f t="shared" si="2"/>
        <v>141559.30817015315</v>
      </c>
      <c r="L40" s="9">
        <f t="shared" si="2"/>
        <v>141094.08964739827</v>
      </c>
      <c r="M40" s="9">
        <f t="shared" si="2"/>
        <v>142684.25754356897</v>
      </c>
      <c r="N40" s="9">
        <f t="shared" si="2"/>
        <v>145189.54657846456</v>
      </c>
      <c r="O40" s="9">
        <f t="shared" si="2"/>
        <v>141208.02768443397</v>
      </c>
      <c r="P40" s="9">
        <f t="shared" si="2"/>
        <v>147405.79364561848</v>
      </c>
      <c r="Q40" s="9">
        <f t="shared" si="2"/>
        <v>152526.80295723843</v>
      </c>
      <c r="R40" s="9">
        <f t="shared" si="2"/>
        <v>141628.9064174513</v>
      </c>
      <c r="S40" s="9">
        <f t="shared" si="2"/>
        <v>140704.94342753611</v>
      </c>
      <c r="T40" s="9">
        <f>T36/T4</f>
        <v>118088.64420638567</v>
      </c>
    </row>
    <row r="41" spans="1:22" x14ac:dyDescent="0.25">
      <c r="A41" s="3" t="s">
        <v>24</v>
      </c>
      <c r="B41" s="9" t="e">
        <f>B37/B5</f>
        <v>#DIV/0!</v>
      </c>
      <c r="C41" s="9">
        <f t="shared" ref="C41:T41" si="3">C37/C5</f>
        <v>18330.900779860236</v>
      </c>
      <c r="D41" s="9">
        <f t="shared" si="3"/>
        <v>41579.478309967708</v>
      </c>
      <c r="E41" s="9">
        <f t="shared" si="3"/>
        <v>64286.569840850832</v>
      </c>
      <c r="F41" s="9">
        <f t="shared" si="3"/>
        <v>80363.39046642727</v>
      </c>
      <c r="G41" s="9">
        <f t="shared" si="3"/>
        <v>105350.7458289612</v>
      </c>
      <c r="H41" s="9">
        <f t="shared" si="3"/>
        <v>122200.39836685511</v>
      </c>
      <c r="I41" s="9">
        <f t="shared" si="3"/>
        <v>130127.90780450737</v>
      </c>
      <c r="J41" s="9">
        <f t="shared" si="3"/>
        <v>145573.52006110793</v>
      </c>
      <c r="K41" s="9">
        <f t="shared" si="3"/>
        <v>153314.29567105073</v>
      </c>
      <c r="L41" s="9">
        <f t="shared" si="3"/>
        <v>145527.40773896637</v>
      </c>
      <c r="M41" s="9">
        <f t="shared" si="3"/>
        <v>150957.57665148939</v>
      </c>
      <c r="N41" s="9">
        <f t="shared" si="3"/>
        <v>154118.26557274951</v>
      </c>
      <c r="O41" s="9">
        <f t="shared" si="3"/>
        <v>143430.63892936954</v>
      </c>
      <c r="P41" s="9">
        <f t="shared" si="3"/>
        <v>145066.9812181248</v>
      </c>
      <c r="Q41" s="9">
        <f t="shared" si="3"/>
        <v>135784.51882415739</v>
      </c>
      <c r="R41" s="9">
        <f t="shared" si="3"/>
        <v>135817.92300048121</v>
      </c>
      <c r="S41" s="9">
        <f t="shared" si="3"/>
        <v>141717.69443547635</v>
      </c>
      <c r="T41" s="9">
        <f t="shared" si="3"/>
        <v>121369.76371164087</v>
      </c>
    </row>
    <row r="44" spans="1:22" x14ac:dyDescent="0.25">
      <c r="A44" s="5" t="s">
        <v>25</v>
      </c>
    </row>
    <row r="45" spans="1:22" x14ac:dyDescent="0.25">
      <c r="A45" s="4" t="s">
        <v>26</v>
      </c>
    </row>
    <row r="46" spans="1:22" x14ac:dyDescent="0.25">
      <c r="A46" s="3" t="s">
        <v>61</v>
      </c>
      <c r="B46" s="12">
        <f>'75%'!Y2-'50%'!X2</f>
        <v>0</v>
      </c>
      <c r="C46" s="12">
        <f>'75%'!Y3-'50%'!X3</f>
        <v>-1044.1711343862116</v>
      </c>
      <c r="D46" s="12">
        <f>'75%'!Y4-'50%'!X4</f>
        <v>-982.74271821137518</v>
      </c>
      <c r="E46" s="12">
        <f>'75%'!Y5-'50%'!X5</f>
        <v>-2375.7829582467675</v>
      </c>
      <c r="F46" s="12">
        <f>'75%'!Y6-'50%'!X6</f>
        <v>-3885.5278434790671</v>
      </c>
      <c r="G46" s="12">
        <f>'75%'!Y7-'50%'!X7</f>
        <v>-4823.6232066014782</v>
      </c>
      <c r="H46" s="12">
        <f>'75%'!Y8-'50%'!X8</f>
        <v>-6851.934170357883</v>
      </c>
      <c r="I46" s="12">
        <f>'75%'!Y9-'50%'!X9</f>
        <v>-9052.0292151272297</v>
      </c>
      <c r="J46" s="12">
        <f>'75%'!Y10-'50%'!X10</f>
        <v>-10208.9780036062</v>
      </c>
      <c r="K46" s="12">
        <f>'75%'!Y11-'50%'!X11</f>
        <v>-12399.182990089059</v>
      </c>
      <c r="L46" s="12">
        <f>'75%'!Y12-'50%'!X12</f>
        <v>-14016.153500556946</v>
      </c>
      <c r="M46" s="12">
        <f>'75%'!Y13-'50%'!X13</f>
        <v>-15014.686032831669</v>
      </c>
      <c r="N46" s="12">
        <f>'75%'!Y14-'50%'!X14</f>
        <v>-15583.127981379628</v>
      </c>
      <c r="O46" s="12">
        <f>'75%'!Y15-'50%'!X15</f>
        <v>-16974.394130766392</v>
      </c>
      <c r="P46" s="12">
        <f>'75%'!Y16-'50%'!X16</f>
        <v>-18779.103489100933</v>
      </c>
      <c r="Q46" s="12">
        <f>'75%'!Y17-'50%'!X17</f>
        <v>-20535.716250835918</v>
      </c>
      <c r="R46" s="12">
        <f>'75%'!Y18-'50%'!X18</f>
        <v>-21529.265469506383</v>
      </c>
      <c r="S46" s="12">
        <f>'75%'!Y19-'50%'!X19</f>
        <v>-22738.401574478485</v>
      </c>
      <c r="T46" s="12">
        <f>(SUM('75%'!Y3:Y19)-SUM('50%'!X3:X19))</f>
        <v>-196794.82066956162</v>
      </c>
    </row>
    <row r="47" spans="1:22" x14ac:dyDescent="0.25">
      <c r="A47" s="3" t="s">
        <v>62</v>
      </c>
      <c r="B47" s="12">
        <f>'50%'!X2-'25%'!X2</f>
        <v>0</v>
      </c>
      <c r="C47" s="12">
        <f>'50%'!X3-'25%'!X3</f>
        <v>322.41522818803787</v>
      </c>
      <c r="D47" s="12">
        <f>'50%'!X4-'25%'!X4</f>
        <v>-467.36757462844253</v>
      </c>
      <c r="E47" s="12">
        <f>'50%'!X5-'25%'!X5</f>
        <v>-1303.2490212423727</v>
      </c>
      <c r="F47" s="12">
        <f>'50%'!X6-'25%'!X6</f>
        <v>-2062.0700768940151</v>
      </c>
      <c r="G47" s="12">
        <f>'50%'!X7-'25%'!X7</f>
        <v>-3367.1059709368274</v>
      </c>
      <c r="H47" s="12">
        <f>'50%'!X8-'25%'!X8</f>
        <v>-4934.7539939731359</v>
      </c>
      <c r="I47" s="12">
        <f>'50%'!X9-'25%'!X9</f>
        <v>-6022.9981979727745</v>
      </c>
      <c r="J47" s="12">
        <f>'50%'!X10-'25%'!X10</f>
        <v>-8786.6255173832178</v>
      </c>
      <c r="K47" s="12">
        <f>'50%'!X11-'25%'!X11</f>
        <v>-10590.263783246279</v>
      </c>
      <c r="L47" s="12">
        <f>'50%'!X12-'25%'!X12</f>
        <v>-12696.81630795449</v>
      </c>
      <c r="M47" s="12">
        <f>'50%'!X13-'25%'!X13</f>
        <v>-14859.383505344391</v>
      </c>
      <c r="N47" s="12">
        <f>'50%'!X14-'25%'!X14</f>
        <v>-17468.827524349093</v>
      </c>
      <c r="O47" s="12">
        <f>'50%'!X15-'25%'!X15</f>
        <v>-19285.513083308935</v>
      </c>
      <c r="P47" s="12">
        <f>'50%'!X16-'25%'!X16</f>
        <v>-20664.72839820385</v>
      </c>
      <c r="Q47" s="12">
        <f>'50%'!X17-'25%'!X17</f>
        <v>-21839.108923196793</v>
      </c>
      <c r="R47" s="12">
        <f>'50%'!X18-'25%'!X18</f>
        <v>-23058.452758222818</v>
      </c>
      <c r="S47" s="12">
        <f>'50%'!X19-'25%'!X19</f>
        <v>-23585.74896429386</v>
      </c>
      <c r="T47" s="12">
        <f>(SUM('50%'!X3:X19)-SUM('25%'!X3:X19))</f>
        <v>-190670.59837296605</v>
      </c>
    </row>
    <row r="48" spans="1:22" x14ac:dyDescent="0.25">
      <c r="A48" s="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V48" s="7"/>
    </row>
    <row r="49" spans="1:20" x14ac:dyDescent="0.25">
      <c r="A49" s="4" t="s">
        <v>27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x14ac:dyDescent="0.25">
      <c r="A50" s="3" t="s">
        <v>61</v>
      </c>
      <c r="B50" s="12">
        <f>'75%'!Z2-'50%'!Y2</f>
        <v>0</v>
      </c>
      <c r="C50" s="12">
        <f>'75%'!Z3-'50%'!Y3</f>
        <v>6134.3180746064754</v>
      </c>
      <c r="D50" s="12">
        <f>'75%'!Z4-'50%'!Y4</f>
        <v>12136.920007676934</v>
      </c>
      <c r="E50" s="12">
        <f>'75%'!Z5-'50%'!Y5</f>
        <v>17861.032987037557</v>
      </c>
      <c r="F50" s="12">
        <f>'75%'!Z6-'50%'!Y6</f>
        <v>21808.442815634247</v>
      </c>
      <c r="G50" s="12">
        <f>'75%'!Z7-'50%'!Y7</f>
        <v>24284.108100737038</v>
      </c>
      <c r="H50" s="12">
        <f>'75%'!Z8-'50%'!Y8</f>
        <v>26281.773709407076</v>
      </c>
      <c r="I50" s="12">
        <f>'75%'!Z9-'50%'!Y9</f>
        <v>27217.816811273806</v>
      </c>
      <c r="J50" s="12">
        <f>'75%'!Z10-'50%'!Y10</f>
        <v>28062.576211158186</v>
      </c>
      <c r="K50" s="12">
        <f>'75%'!Z11-'50%'!Y11</f>
        <v>28117.291007809748</v>
      </c>
      <c r="L50" s="12">
        <f>'75%'!Z12-'50%'!Y12</f>
        <v>28408.619375796989</v>
      </c>
      <c r="M50" s="12">
        <f>'75%'!Z13-'50%'!Y13</f>
        <v>28178.871277599479</v>
      </c>
      <c r="N50" s="12">
        <f>'75%'!Z14-'50%'!Y14</f>
        <v>28445.241450076923</v>
      </c>
      <c r="O50" s="12">
        <f>'75%'!Z15-'50%'!Y15</f>
        <v>28316.869398240931</v>
      </c>
      <c r="P50" s="12">
        <f>'75%'!Z16-'50%'!Y16</f>
        <v>28131.411353381409</v>
      </c>
      <c r="Q50" s="12">
        <f>'75%'!Z17-'50%'!Y17</f>
        <v>27523.096026360989</v>
      </c>
      <c r="R50" s="12">
        <f>'75%'!Z18-'50%'!Y18</f>
        <v>27271.712988427782</v>
      </c>
      <c r="S50" s="12">
        <f>'75%'!Z19-'50%'!Y19</f>
        <v>26740.181943511474</v>
      </c>
      <c r="T50" s="12">
        <f>(SUM('75%'!Z3:Z19)-SUM('50%'!Y3:Y19))</f>
        <v>414920.28353873733</v>
      </c>
    </row>
    <row r="51" spans="1:20" x14ac:dyDescent="0.25">
      <c r="A51" s="3" t="s">
        <v>62</v>
      </c>
      <c r="B51" s="12">
        <f>'50%'!Y2-'25%'!Y2</f>
        <v>0</v>
      </c>
      <c r="C51" s="12">
        <f>'50%'!Y3-'25%'!Y3</f>
        <v>7422.4587099750061</v>
      </c>
      <c r="D51" s="12">
        <f>'50%'!Y4-'25%'!Y4</f>
        <v>14349.11602792237</v>
      </c>
      <c r="E51" s="12">
        <f>'50%'!Y5-'25%'!Y5</f>
        <v>18267.176341783314</v>
      </c>
      <c r="F51" s="12">
        <f>'50%'!Y6-'25%'!Y6</f>
        <v>21865.140974920476</v>
      </c>
      <c r="G51" s="12">
        <f>'50%'!Y7-'25%'!Y7</f>
        <v>24776.441962060984</v>
      </c>
      <c r="H51" s="12">
        <f>'50%'!Y8-'25%'!Y8</f>
        <v>26394.336259229109</v>
      </c>
      <c r="I51" s="12">
        <f>'50%'!Y9-'25%'!Y9</f>
        <v>27849.128312605375</v>
      </c>
      <c r="J51" s="12">
        <f>'50%'!Y10-'25%'!Y10</f>
        <v>28539.805751628708</v>
      </c>
      <c r="K51" s="12">
        <f>'50%'!Y11-'25%'!Y11</f>
        <v>28249.584823815618</v>
      </c>
      <c r="L51" s="12">
        <f>'50%'!Y12-'25%'!Y12</f>
        <v>28127.529507022293</v>
      </c>
      <c r="M51" s="12">
        <f>'50%'!Y13-'25%'!Y13</f>
        <v>28506.757431720383</v>
      </c>
      <c r="N51" s="12">
        <f>'50%'!Y14-'25%'!Y14</f>
        <v>28072.173568640777</v>
      </c>
      <c r="O51" s="12">
        <f>'50%'!Y15-'25%'!Y15</f>
        <v>28451.865463326685</v>
      </c>
      <c r="P51" s="12">
        <f>'50%'!Y16-'25%'!Y16</f>
        <v>28381.310270428599</v>
      </c>
      <c r="Q51" s="12">
        <f>'50%'!Y17-'25%'!Y17</f>
        <v>28455.410013704619</v>
      </c>
      <c r="R51" s="12">
        <f>'50%'!Y18-'25%'!Y18</f>
        <v>28276.577132592909</v>
      </c>
      <c r="S51" s="12">
        <f>'50%'!Y19-'25%'!Y19</f>
        <v>27272.077849858499</v>
      </c>
      <c r="T51" s="12">
        <f>(SUM('50%'!Y3:Y19)-SUM('25%'!Y3:Y19))</f>
        <v>423256.89040123578</v>
      </c>
    </row>
    <row r="52" spans="1:20" x14ac:dyDescent="0.25">
      <c r="A52" s="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x14ac:dyDescent="0.25">
      <c r="A53" s="4" t="s">
        <v>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x14ac:dyDescent="0.25">
      <c r="A54" s="3" t="s">
        <v>61</v>
      </c>
      <c r="B54" s="12">
        <f>'75%'!AA2-'50%'!Z2</f>
        <v>0</v>
      </c>
      <c r="C54" s="12">
        <f>'75%'!AA3-'50%'!Z3</f>
        <v>5090.1469402201474</v>
      </c>
      <c r="D54" s="12">
        <f>'75%'!AA4-'50%'!Z4</f>
        <v>11154.177289464511</v>
      </c>
      <c r="E54" s="12">
        <f>'75%'!AA5-'50%'!Z5</f>
        <v>15485.250028789975</v>
      </c>
      <c r="F54" s="12">
        <f>'75%'!AA6-'50%'!Z6</f>
        <v>17922.914972154424</v>
      </c>
      <c r="G54" s="12">
        <f>'75%'!AA7-'50%'!Z7</f>
        <v>19460.484894135967</v>
      </c>
      <c r="H54" s="12">
        <f>'75%'!AA8-'50%'!Z8</f>
        <v>19429.839539049193</v>
      </c>
      <c r="I54" s="12">
        <f>'75%'!AA9-'50%'!Z9</f>
        <v>18165.787596145645</v>
      </c>
      <c r="J54" s="12">
        <f>'75%'!AA10-'50%'!Z10</f>
        <v>17853.598207551986</v>
      </c>
      <c r="K54" s="12">
        <f>'75%'!AA11-'50%'!Z11</f>
        <v>15718.108017721213</v>
      </c>
      <c r="L54" s="12">
        <f>'75%'!AA12-'50%'!Z12</f>
        <v>14392.465875241905</v>
      </c>
      <c r="M54" s="12">
        <f>'75%'!AA13-'50%'!Z13</f>
        <v>13164.185244767927</v>
      </c>
      <c r="N54" s="12">
        <f>'75%'!AA14-'50%'!Z14</f>
        <v>12862.113468696363</v>
      </c>
      <c r="O54" s="12">
        <f>'75%'!AA15-'50%'!Z15</f>
        <v>11342.47526747454</v>
      </c>
      <c r="P54" s="12">
        <f>'75%'!AA16-'50%'!Z16</f>
        <v>9352.3078642804176</v>
      </c>
      <c r="Q54" s="12">
        <f>'75%'!AA17-'50%'!Z17</f>
        <v>6987.3797755241394</v>
      </c>
      <c r="R54" s="12">
        <f>'75%'!AA18-'50%'!Z18</f>
        <v>5742.4475189214572</v>
      </c>
      <c r="S54" s="12">
        <f>'75%'!AA19-'50%'!Z19</f>
        <v>4001.780369034037</v>
      </c>
      <c r="T54" s="12">
        <f>(SUM('75%'!AA3:AA19)-SUM('50%'!Z3:Z19))</f>
        <v>218125.46286918223</v>
      </c>
    </row>
    <row r="55" spans="1:20" x14ac:dyDescent="0.25">
      <c r="A55" s="3" t="s">
        <v>62</v>
      </c>
      <c r="B55" s="12">
        <f>'50%'!Z2-'25%'!Z2</f>
        <v>0</v>
      </c>
      <c r="C55" s="12">
        <f>'50%'!Z3-'25%'!Z3</f>
        <v>7744.8739381637424</v>
      </c>
      <c r="D55" s="12">
        <f>'50%'!Z4-'25%'!Z4</f>
        <v>13881.748453293927</v>
      </c>
      <c r="E55" s="12">
        <f>'50%'!Z5-'25%'!Z5</f>
        <v>16963.927320540883</v>
      </c>
      <c r="F55" s="12">
        <f>'50%'!Z6-'25%'!Z6</f>
        <v>19803.070898026228</v>
      </c>
      <c r="G55" s="12">
        <f>'50%'!Z7-'25%'!Z7</f>
        <v>21409.335991123691</v>
      </c>
      <c r="H55" s="12">
        <f>'50%'!Z8-'25%'!Z8</f>
        <v>21459.582265255973</v>
      </c>
      <c r="I55" s="12">
        <f>'50%'!Z9-'25%'!Z9</f>
        <v>21826.13011463359</v>
      </c>
      <c r="J55" s="12">
        <f>'50%'!Z10-'25%'!Z10</f>
        <v>19753.180234245956</v>
      </c>
      <c r="K55" s="12">
        <f>'50%'!Z11-'25%'!Z11</f>
        <v>17659.321040568873</v>
      </c>
      <c r="L55" s="12">
        <f>'50%'!Z12-'25%'!Z12</f>
        <v>15430.71319906693</v>
      </c>
      <c r="M55" s="12">
        <f>'50%'!Z13-'25%'!Z13</f>
        <v>13647.373926375993</v>
      </c>
      <c r="N55" s="12">
        <f>'50%'!Z14-'25%'!Z14</f>
        <v>10603.346044291742</v>
      </c>
      <c r="O55" s="12">
        <f>'50%'!Z15-'25%'!Z15</f>
        <v>9166.35238001775</v>
      </c>
      <c r="P55" s="12">
        <f>'50%'!Z16-'25%'!Z16</f>
        <v>7716.5818722248077</v>
      </c>
      <c r="Q55" s="12">
        <f>'50%'!Z17-'25%'!Z17</f>
        <v>6616.3010905077681</v>
      </c>
      <c r="R55" s="12">
        <f>'50%'!Z18-'25%'!Z18</f>
        <v>5218.1243743700907</v>
      </c>
      <c r="S55" s="12">
        <f>'50%'!Z19-'25%'!Z19</f>
        <v>3686.3288855636492</v>
      </c>
      <c r="T55" s="12">
        <f>(SUM('50%'!Z2:Z19)-SUM('25%'!Z2:Z19))</f>
        <v>232586.29202829301</v>
      </c>
    </row>
    <row r="56" spans="1:20" x14ac:dyDescent="0.25">
      <c r="A56" s="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x14ac:dyDescent="0.25">
      <c r="A57" s="4" t="s">
        <v>28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x14ac:dyDescent="0.25">
      <c r="A58" s="3" t="s">
        <v>63</v>
      </c>
      <c r="B58" t="e">
        <f>B46/B4</f>
        <v>#DIV/0!</v>
      </c>
      <c r="C58" s="12">
        <f>C46/C4</f>
        <v>-0.11944304900322714</v>
      </c>
      <c r="D58" s="12">
        <f t="shared" ref="D58:T58" si="4">D46/D4</f>
        <v>-9.9963657635171926E-2</v>
      </c>
      <c r="E58" s="12">
        <f t="shared" si="4"/>
        <v>-0.23139991801371068</v>
      </c>
      <c r="F58" s="12">
        <f t="shared" si="4"/>
        <v>-0.37574004868765759</v>
      </c>
      <c r="G58" s="12">
        <f t="shared" si="4"/>
        <v>-0.48202490322788827</v>
      </c>
      <c r="H58" s="12">
        <f t="shared" si="4"/>
        <v>-0.64150680370357482</v>
      </c>
      <c r="I58" s="12">
        <f t="shared" si="4"/>
        <v>-0.87005278884344772</v>
      </c>
      <c r="J58" s="12">
        <f t="shared" si="4"/>
        <v>-0.89145808623875311</v>
      </c>
      <c r="K58" s="12">
        <f t="shared" si="4"/>
        <v>-1.125050629715004</v>
      </c>
      <c r="L58" s="12">
        <f t="shared" si="4"/>
        <v>-1.2172082935785451</v>
      </c>
      <c r="M58" s="12">
        <f t="shared" si="4"/>
        <v>-1.2636497250321217</v>
      </c>
      <c r="N58" s="12">
        <f t="shared" si="4"/>
        <v>-1.29460230799864</v>
      </c>
      <c r="O58" s="12">
        <f t="shared" si="4"/>
        <v>-1.3344649473872949</v>
      </c>
      <c r="P58" s="12">
        <f t="shared" si="4"/>
        <v>-1.515543821249369</v>
      </c>
      <c r="Q58" s="12">
        <f t="shared" si="4"/>
        <v>-1.7081780278519312</v>
      </c>
      <c r="R58" s="12">
        <f t="shared" si="4"/>
        <v>-1.6651918531600574</v>
      </c>
      <c r="S58" s="12">
        <f t="shared" si="4"/>
        <v>-1.7746352590711374</v>
      </c>
      <c r="T58" s="12">
        <f t="shared" si="4"/>
        <v>-1.0300427660598341</v>
      </c>
    </row>
    <row r="59" spans="1:20" x14ac:dyDescent="0.25">
      <c r="A59" s="3" t="s">
        <v>64</v>
      </c>
      <c r="B59" t="e">
        <f>B47/B5</f>
        <v>#DIV/0!</v>
      </c>
      <c r="C59" s="12">
        <f t="shared" ref="C59:T59" si="5">C47/C5</f>
        <v>3.286932696381261E-2</v>
      </c>
      <c r="D59" s="12">
        <f t="shared" si="5"/>
        <v>-4.848211355066831E-2</v>
      </c>
      <c r="E59" s="12">
        <f t="shared" si="5"/>
        <v>-0.13575510637941382</v>
      </c>
      <c r="F59" s="12">
        <f t="shared" si="5"/>
        <v>-0.19799040584676092</v>
      </c>
      <c r="G59" s="12">
        <f t="shared" si="5"/>
        <v>-0.32843405881162968</v>
      </c>
      <c r="H59" s="12">
        <f t="shared" si="5"/>
        <v>-0.46859310549550243</v>
      </c>
      <c r="I59" s="12">
        <f t="shared" si="5"/>
        <v>-0.53791177976000482</v>
      </c>
      <c r="J59" s="12">
        <f t="shared" si="5"/>
        <v>-0.81207259864909587</v>
      </c>
      <c r="K59" s="12">
        <f t="shared" si="5"/>
        <v>-0.98541581680899593</v>
      </c>
      <c r="L59" s="12">
        <f t="shared" si="5"/>
        <v>-1.0838084769914205</v>
      </c>
      <c r="M59" s="12">
        <f t="shared" si="5"/>
        <v>-1.2874184288116783</v>
      </c>
      <c r="N59" s="12">
        <f t="shared" si="5"/>
        <v>-1.5330256712899599</v>
      </c>
      <c r="O59" s="12">
        <f t="shared" si="5"/>
        <v>-1.5588031913440781</v>
      </c>
      <c r="P59" s="12">
        <f t="shared" si="5"/>
        <v>-1.6631572151471912</v>
      </c>
      <c r="Q59" s="12">
        <f t="shared" si="5"/>
        <v>-1.6362560068327558</v>
      </c>
      <c r="R59" s="12">
        <f t="shared" si="5"/>
        <v>-1.7282605874848462</v>
      </c>
      <c r="S59" s="12">
        <f t="shared" si="5"/>
        <v>-1.8675864252350827</v>
      </c>
      <c r="T59" s="12">
        <f t="shared" si="5"/>
        <v>-0.99422560655010506</v>
      </c>
    </row>
    <row r="60" spans="1:20" x14ac:dyDescent="0.25">
      <c r="A60" s="3"/>
    </row>
    <row r="61" spans="1:20" x14ac:dyDescent="0.25">
      <c r="A61" s="1" t="s">
        <v>29</v>
      </c>
    </row>
    <row r="62" spans="1:20" x14ac:dyDescent="0.25">
      <c r="A62" s="3" t="s">
        <v>6</v>
      </c>
      <c r="B62" s="11">
        <v>7.4160051667308</v>
      </c>
      <c r="C62" s="11">
        <v>9.8621491953945242</v>
      </c>
      <c r="D62" s="11">
        <v>10.094884336597641</v>
      </c>
      <c r="E62" s="11">
        <v>10.27075131318043</v>
      </c>
      <c r="F62" s="11">
        <v>10.48114087189318</v>
      </c>
      <c r="G62" s="11">
        <v>10.63765896109506</v>
      </c>
      <c r="H62" s="11">
        <v>10.862187278997631</v>
      </c>
      <c r="I62" s="11">
        <v>11.01592723033756</v>
      </c>
      <c r="J62" s="11">
        <v>11.221762821345139</v>
      </c>
      <c r="K62" s="11">
        <v>11.404910382104241</v>
      </c>
      <c r="L62" s="11">
        <v>11.664491495564841</v>
      </c>
      <c r="M62" s="11">
        <v>11.809655019535221</v>
      </c>
      <c r="N62" s="11">
        <v>12.04015299044803</v>
      </c>
      <c r="O62" s="11">
        <v>12.232392193346399</v>
      </c>
      <c r="P62" s="11">
        <v>12.43821313753285</v>
      </c>
      <c r="Q62" s="11">
        <v>12.66025236906435</v>
      </c>
      <c r="R62" s="11">
        <v>12.89310182112844</v>
      </c>
      <c r="S62" s="11">
        <v>12.99479413791604</v>
      </c>
    </row>
    <row r="63" spans="1:20" x14ac:dyDescent="0.25">
      <c r="A63" s="3" t="s">
        <v>10</v>
      </c>
      <c r="B63" s="11">
        <v>7.4160051667308</v>
      </c>
      <c r="C63" s="11">
        <v>9.0670450965855398</v>
      </c>
      <c r="D63" s="11">
        <v>9.2159834478396565</v>
      </c>
      <c r="E63" s="11">
        <v>9.3648720349109986</v>
      </c>
      <c r="F63" s="11">
        <v>9.5817787418655094</v>
      </c>
      <c r="G63" s="11">
        <v>9.7774601523340241</v>
      </c>
      <c r="H63" s="11">
        <v>9.9530730888227659</v>
      </c>
      <c r="I63" s="11">
        <v>10.139469748115809</v>
      </c>
      <c r="J63" s="11">
        <v>10.26663484572075</v>
      </c>
      <c r="K63" s="11">
        <v>10.491760802916261</v>
      </c>
      <c r="L63" s="11">
        <v>10.72015893706396</v>
      </c>
      <c r="M63" s="11">
        <v>10.8452699373759</v>
      </c>
      <c r="N63" s="11">
        <v>11.071135390605169</v>
      </c>
      <c r="O63" s="11">
        <v>11.21588501316127</v>
      </c>
      <c r="P63" s="11">
        <v>11.460066565333049</v>
      </c>
      <c r="Q63" s="11">
        <v>11.71382691270315</v>
      </c>
      <c r="R63" s="11">
        <v>11.880790693026331</v>
      </c>
      <c r="S63" s="11">
        <v>11.99371511922357</v>
      </c>
    </row>
    <row r="64" spans="1:20" x14ac:dyDescent="0.25">
      <c r="A64" s="3" t="s">
        <v>11</v>
      </c>
      <c r="B64" s="11">
        <v>7.4160051667308</v>
      </c>
      <c r="C64" s="11">
        <v>8.1754419458800971</v>
      </c>
      <c r="D64" s="11">
        <v>8.3546671957661083</v>
      </c>
      <c r="E64" s="11">
        <v>8.5202114850775761</v>
      </c>
      <c r="F64" s="11">
        <v>8.6795875349615592</v>
      </c>
      <c r="G64" s="11">
        <v>8.8994382746164256</v>
      </c>
      <c r="H64" s="11">
        <v>9.0621376900168631</v>
      </c>
      <c r="I64" s="11">
        <v>9.2020519623850348</v>
      </c>
      <c r="J64" s="11">
        <v>9.3679606280846031</v>
      </c>
      <c r="K64" s="11">
        <v>9.6076579146118739</v>
      </c>
      <c r="L64" s="11">
        <v>9.7639392953333033</v>
      </c>
      <c r="M64" s="11">
        <v>9.9088360606543198</v>
      </c>
      <c r="N64" s="11">
        <v>10.15258649133399</v>
      </c>
      <c r="O64" s="11">
        <v>10.22725216244163</v>
      </c>
      <c r="P64" s="11">
        <v>10.480755308288099</v>
      </c>
      <c r="Q64" s="11">
        <v>10.667644719106059</v>
      </c>
      <c r="R64" s="11">
        <v>10.840317529644411</v>
      </c>
      <c r="S64" s="11">
        <v>11.009934202753691</v>
      </c>
    </row>
    <row r="69" spans="1:17" x14ac:dyDescent="0.25">
      <c r="A69" s="1" t="s">
        <v>79</v>
      </c>
    </row>
    <row r="70" spans="1:17" x14ac:dyDescent="0.25">
      <c r="A70" t="s">
        <v>85</v>
      </c>
      <c r="B70">
        <v>2025</v>
      </c>
      <c r="C70">
        <v>2040</v>
      </c>
      <c r="D70" s="3" t="s">
        <v>80</v>
      </c>
    </row>
    <row r="71" spans="1:17" x14ac:dyDescent="0.25">
      <c r="A71" s="3" t="s">
        <v>83</v>
      </c>
      <c r="B71">
        <v>1.06</v>
      </c>
      <c r="C71">
        <v>1.59</v>
      </c>
      <c r="D71" s="18">
        <f>(C71-B71)/B71</f>
        <v>0.5</v>
      </c>
    </row>
    <row r="72" spans="1:17" x14ac:dyDescent="0.25">
      <c r="A72" s="3" t="s">
        <v>81</v>
      </c>
      <c r="B72">
        <v>1</v>
      </c>
      <c r="C72">
        <v>1.4</v>
      </c>
      <c r="D72" s="18">
        <f t="shared" ref="D72:D75" si="6">(C72-B72)/B72</f>
        <v>0.39999999999999991</v>
      </c>
    </row>
    <row r="73" spans="1:17" x14ac:dyDescent="0.25">
      <c r="A73" s="3" t="s">
        <v>82</v>
      </c>
      <c r="B73">
        <v>1</v>
      </c>
      <c r="C73">
        <v>1.37</v>
      </c>
      <c r="D73" s="18">
        <f t="shared" si="6"/>
        <v>0.37000000000000011</v>
      </c>
    </row>
    <row r="74" spans="1:17" x14ac:dyDescent="0.25">
      <c r="A74" s="3" t="s">
        <v>84</v>
      </c>
      <c r="B74">
        <v>0.89</v>
      </c>
      <c r="C74">
        <v>1.23</v>
      </c>
      <c r="D74" s="18">
        <f t="shared" si="6"/>
        <v>0.38202247191011229</v>
      </c>
    </row>
    <row r="75" spans="1:17" x14ac:dyDescent="0.25">
      <c r="A75" s="3" t="s">
        <v>86</v>
      </c>
      <c r="B75" s="15">
        <v>0.83</v>
      </c>
      <c r="C75">
        <v>1.03</v>
      </c>
      <c r="D75" s="18">
        <f t="shared" si="6"/>
        <v>0.24096385542168683</v>
      </c>
    </row>
    <row r="78" spans="1:17" x14ac:dyDescent="0.25">
      <c r="Q78" s="18">
        <f>(1033451-946903)/946903</f>
        <v>9.140112556407573E-2</v>
      </c>
    </row>
    <row r="79" spans="1:17" x14ac:dyDescent="0.25">
      <c r="Q79" s="18">
        <f>(1120015-1033451)/1033451</f>
        <v>8.3762074834704311E-2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5295-055B-477B-94FC-8A054ED9650C}">
  <dimension ref="A1:H36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.5703125" bestFit="1" customWidth="1"/>
    <col min="2" max="3" width="20.140625" bestFit="1" customWidth="1"/>
    <col min="4" max="4" width="19.140625" bestFit="1" customWidth="1"/>
    <col min="5" max="6" width="20.140625" bestFit="1" customWidth="1"/>
    <col min="7" max="7" width="20" bestFit="1" customWidth="1"/>
    <col min="8" max="8" width="23" bestFit="1" customWidth="1"/>
  </cols>
  <sheetData>
    <row r="1" spans="1:8" x14ac:dyDescent="0.25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  <c r="H1" s="17" t="s">
        <v>78</v>
      </c>
    </row>
    <row r="2" spans="1:8" x14ac:dyDescent="0.25">
      <c r="A2" s="1" t="s">
        <v>65</v>
      </c>
    </row>
    <row r="3" spans="1:8" x14ac:dyDescent="0.25">
      <c r="A3" t="s">
        <v>39</v>
      </c>
      <c r="B3" s="9">
        <v>214518502327.44131</v>
      </c>
      <c r="C3" s="9">
        <v>213892282332.60901</v>
      </c>
      <c r="D3" s="16">
        <v>19535548550.136639</v>
      </c>
      <c r="E3" s="9">
        <v>179845370533.84949</v>
      </c>
      <c r="F3" s="9">
        <v>253347533316.2056</v>
      </c>
      <c r="G3" s="9">
        <v>73502162782.35614</v>
      </c>
      <c r="H3" s="18">
        <f>(D3/B3)</f>
        <v>9.1066963167202947E-2</v>
      </c>
    </row>
    <row r="4" spans="1:8" x14ac:dyDescent="0.25">
      <c r="A4" t="s">
        <v>40</v>
      </c>
      <c r="B4" s="9">
        <v>170040849421.64169</v>
      </c>
      <c r="C4" s="9">
        <v>170455367965.34689</v>
      </c>
      <c r="D4" s="16">
        <v>14160253215.51449</v>
      </c>
      <c r="E4" s="9">
        <v>141599912430.22769</v>
      </c>
      <c r="F4" s="9">
        <v>195796178825.14761</v>
      </c>
      <c r="G4" s="9">
        <v>54196266394.919922</v>
      </c>
      <c r="H4" s="18">
        <f t="shared" ref="H4:H12" si="0">(D4/B4)</f>
        <v>8.3275596797343837E-2</v>
      </c>
    </row>
    <row r="5" spans="1:8" x14ac:dyDescent="0.25">
      <c r="A5" t="s">
        <v>36</v>
      </c>
      <c r="B5" s="15">
        <v>114108058.4460886</v>
      </c>
      <c r="C5" s="12">
        <v>113768438.96869589</v>
      </c>
      <c r="D5">
        <v>6588732.2155458322</v>
      </c>
      <c r="E5" s="12">
        <v>101368783.228444</v>
      </c>
      <c r="F5" s="12">
        <v>126627041.54053991</v>
      </c>
      <c r="G5" s="12">
        <v>25258258.312095869</v>
      </c>
      <c r="H5" s="18">
        <f t="shared" si="0"/>
        <v>5.7741164868375529E-2</v>
      </c>
    </row>
    <row r="6" spans="1:8" x14ac:dyDescent="0.25">
      <c r="A6" t="s">
        <v>37</v>
      </c>
      <c r="B6" s="12">
        <v>6262733.2855647132</v>
      </c>
      <c r="C6" s="12">
        <v>6236400.6307737445</v>
      </c>
      <c r="D6">
        <v>575223.69080151932</v>
      </c>
      <c r="E6" s="12">
        <v>5160238.9435918536</v>
      </c>
      <c r="F6" s="12">
        <v>7338858.9700619606</v>
      </c>
      <c r="G6" s="12">
        <v>2178620.026470107</v>
      </c>
      <c r="H6" s="18">
        <f t="shared" si="0"/>
        <v>9.1848664883650899E-2</v>
      </c>
    </row>
    <row r="7" spans="1:8" x14ac:dyDescent="0.25">
      <c r="A7" t="s">
        <v>73</v>
      </c>
      <c r="B7" s="7">
        <v>10009585</v>
      </c>
      <c r="C7" s="7">
        <v>10001050</v>
      </c>
      <c r="D7" s="7">
        <v>189468.09925755981</v>
      </c>
      <c r="E7" s="7">
        <v>9620585</v>
      </c>
      <c r="F7" s="7">
        <v>10400602.5</v>
      </c>
      <c r="G7" s="7">
        <v>780017.5</v>
      </c>
      <c r="H7" s="18">
        <f t="shared" si="0"/>
        <v>1.8928666798629493E-2</v>
      </c>
    </row>
    <row r="8" spans="1:8" x14ac:dyDescent="0.25">
      <c r="A8" t="s">
        <v>74</v>
      </c>
      <c r="B8" s="9">
        <v>384559351749.08301</v>
      </c>
      <c r="C8" s="9">
        <v>383012328792.69971</v>
      </c>
      <c r="D8" s="16">
        <v>29073292932.950661</v>
      </c>
      <c r="E8" s="9">
        <v>327047324158.32373</v>
      </c>
      <c r="F8" s="9">
        <v>443218055269.16577</v>
      </c>
      <c r="G8" s="9">
        <v>116170731110.842</v>
      </c>
      <c r="H8" s="18">
        <f t="shared" si="0"/>
        <v>7.5601575675424942E-2</v>
      </c>
    </row>
    <row r="9" spans="1:8" x14ac:dyDescent="0.25">
      <c r="A9" t="s">
        <v>75</v>
      </c>
      <c r="B9" s="12">
        <v>120370791.7316533</v>
      </c>
      <c r="C9" s="12">
        <v>120080913.773917</v>
      </c>
      <c r="D9">
        <v>6575374.4926164281</v>
      </c>
      <c r="E9" s="12">
        <v>107369366.265397</v>
      </c>
      <c r="F9" s="12">
        <v>132928759.7121775</v>
      </c>
      <c r="G9" s="12">
        <v>25559393.446780492</v>
      </c>
      <c r="H9" s="18">
        <f t="shared" si="0"/>
        <v>5.4625996872024685E-2</v>
      </c>
    </row>
    <row r="10" spans="1:8" x14ac:dyDescent="0.25">
      <c r="A10" t="s">
        <v>47</v>
      </c>
      <c r="B10" s="13">
        <v>351649.6</v>
      </c>
      <c r="C10" s="13">
        <v>351000</v>
      </c>
      <c r="D10">
        <v>32228.549123365679</v>
      </c>
      <c r="E10" s="13">
        <v>285585</v>
      </c>
      <c r="F10" s="13">
        <v>417592.49999999988</v>
      </c>
      <c r="G10" s="13">
        <v>132007.49999999991</v>
      </c>
      <c r="H10" s="18">
        <f t="shared" si="0"/>
        <v>9.1649611213451346E-2</v>
      </c>
    </row>
    <row r="11" spans="1:8" x14ac:dyDescent="0.25">
      <c r="A11" t="s">
        <v>48</v>
      </c>
      <c r="B11" s="13">
        <v>3792.998</v>
      </c>
      <c r="C11" s="13">
        <v>3785.5</v>
      </c>
      <c r="D11">
        <v>331.0961602475349</v>
      </c>
      <c r="E11" s="13">
        <v>3126.2249999999999</v>
      </c>
      <c r="F11" s="13">
        <v>4466</v>
      </c>
      <c r="G11" s="13">
        <v>1339.7750000000001</v>
      </c>
      <c r="H11" s="18">
        <f t="shared" si="0"/>
        <v>8.7291414402943232E-2</v>
      </c>
    </row>
    <row r="12" spans="1:8" x14ac:dyDescent="0.25">
      <c r="A12" t="s">
        <v>49</v>
      </c>
      <c r="B12" s="13">
        <v>433905.2</v>
      </c>
      <c r="C12" s="13">
        <v>432300</v>
      </c>
      <c r="D12">
        <v>36584.284504489231</v>
      </c>
      <c r="E12" s="13">
        <v>359537.5</v>
      </c>
      <c r="F12" s="13">
        <v>508452.5</v>
      </c>
      <c r="G12" s="13">
        <v>148915</v>
      </c>
      <c r="H12" s="18">
        <f t="shared" si="0"/>
        <v>8.4314003391729869E-2</v>
      </c>
    </row>
    <row r="14" spans="1:8" x14ac:dyDescent="0.25">
      <c r="A14" s="1" t="s">
        <v>76</v>
      </c>
    </row>
    <row r="15" spans="1:8" x14ac:dyDescent="0.25">
      <c r="A15" t="s">
        <v>39</v>
      </c>
      <c r="B15" s="9">
        <v>227397716982.23221</v>
      </c>
      <c r="C15" s="9">
        <v>226541683066.20499</v>
      </c>
      <c r="D15" s="16">
        <v>21350475031.572979</v>
      </c>
      <c r="E15" s="9">
        <v>188076875992.7814</v>
      </c>
      <c r="F15" s="9">
        <v>272032103465.22891</v>
      </c>
      <c r="G15" s="9">
        <v>83955227472.44751</v>
      </c>
      <c r="H15" s="18">
        <f>(D15/B15)</f>
        <v>9.3890454640057824E-2</v>
      </c>
    </row>
    <row r="16" spans="1:8" x14ac:dyDescent="0.25">
      <c r="A16" t="s">
        <v>40</v>
      </c>
      <c r="B16" s="9">
        <v>180456115260.54749</v>
      </c>
      <c r="C16" s="9">
        <v>180086292547.293</v>
      </c>
      <c r="D16" s="16">
        <v>15487805662.1063</v>
      </c>
      <c r="E16" s="9">
        <v>149269735764.01611</v>
      </c>
      <c r="F16" s="9">
        <v>210033996574.5079</v>
      </c>
      <c r="G16" s="9">
        <v>60764260810.49176</v>
      </c>
      <c r="H16" s="18">
        <f t="shared" ref="H16:H24" si="1">(D16/B16)</f>
        <v>8.5825884258588753E-2</v>
      </c>
    </row>
    <row r="17" spans="1:8" x14ac:dyDescent="0.25">
      <c r="A17" t="s">
        <v>36</v>
      </c>
      <c r="B17" s="12">
        <v>113917381.05889919</v>
      </c>
      <c r="C17" s="12">
        <v>113527266.05446459</v>
      </c>
      <c r="D17">
        <v>6558448.1122729806</v>
      </c>
      <c r="E17" s="12">
        <v>101267690.767003</v>
      </c>
      <c r="F17" s="12">
        <v>126261947.7032104</v>
      </c>
      <c r="G17" s="12">
        <v>24994256.936207458</v>
      </c>
      <c r="H17" s="18">
        <f t="shared" si="1"/>
        <v>5.7571970592284229E-2</v>
      </c>
    </row>
    <row r="18" spans="1:8" x14ac:dyDescent="0.25">
      <c r="A18" t="s">
        <v>37</v>
      </c>
      <c r="B18" s="12">
        <v>6689864.0771317137</v>
      </c>
      <c r="C18" s="12">
        <v>6662100.105529217</v>
      </c>
      <c r="D18">
        <v>639894.402565861</v>
      </c>
      <c r="E18" s="12">
        <v>5505712.9402442519</v>
      </c>
      <c r="F18" s="12">
        <v>7971284.3807339473</v>
      </c>
      <c r="G18" s="12">
        <v>2465571.4404896949</v>
      </c>
      <c r="H18" s="18">
        <f t="shared" si="1"/>
        <v>9.5651330907191828E-2</v>
      </c>
    </row>
    <row r="19" spans="1:8" x14ac:dyDescent="0.25">
      <c r="A19" t="s">
        <v>73</v>
      </c>
      <c r="B19" s="7">
        <v>10202161</v>
      </c>
      <c r="C19" s="7">
        <v>10198600</v>
      </c>
      <c r="D19" s="7">
        <v>213901.01586522759</v>
      </c>
      <c r="E19" s="7">
        <v>9767847.5</v>
      </c>
      <c r="F19" s="7">
        <v>10641410</v>
      </c>
      <c r="G19" s="7">
        <v>873562.5</v>
      </c>
      <c r="H19" s="18">
        <f t="shared" si="1"/>
        <v>2.0966245863521228E-2</v>
      </c>
    </row>
    <row r="20" spans="1:8" x14ac:dyDescent="0.25">
      <c r="A20" t="s">
        <v>74</v>
      </c>
      <c r="B20" s="9">
        <v>407853832242.77972</v>
      </c>
      <c r="C20" s="9">
        <v>407413762208.13989</v>
      </c>
      <c r="D20" s="16">
        <v>32253586024.700741</v>
      </c>
      <c r="E20" s="9">
        <v>343709664559.37518</v>
      </c>
      <c r="F20" s="9">
        <v>473264205909.73218</v>
      </c>
      <c r="G20" s="9">
        <v>129554541350.3569</v>
      </c>
      <c r="H20" s="18">
        <f t="shared" si="1"/>
        <v>7.9081238117437669E-2</v>
      </c>
    </row>
    <row r="21" spans="1:8" x14ac:dyDescent="0.25">
      <c r="A21" t="s">
        <v>75</v>
      </c>
      <c r="B21" s="12">
        <v>120607245.1360309</v>
      </c>
      <c r="C21" s="12">
        <v>120403628.7472526</v>
      </c>
      <c r="D21">
        <v>6537754.8686839025</v>
      </c>
      <c r="E21" s="12">
        <v>107677268.0012421</v>
      </c>
      <c r="F21" s="12">
        <v>133036620.8135756</v>
      </c>
      <c r="G21" s="12">
        <v>25359352.812333491</v>
      </c>
      <c r="H21" s="18">
        <f t="shared" si="1"/>
        <v>5.4206982850077357E-2</v>
      </c>
    </row>
    <row r="22" spans="1:8" x14ac:dyDescent="0.25">
      <c r="A22" t="s">
        <v>47</v>
      </c>
      <c r="B22" s="13">
        <v>384186</v>
      </c>
      <c r="C22" s="13">
        <v>384200</v>
      </c>
      <c r="D22">
        <v>36077.879521689792</v>
      </c>
      <c r="E22" s="13">
        <v>310742.5</v>
      </c>
      <c r="F22" s="13">
        <v>459277.5</v>
      </c>
      <c r="G22" s="13">
        <v>148535</v>
      </c>
      <c r="H22" s="18">
        <f t="shared" si="1"/>
        <v>9.390732489390502E-2</v>
      </c>
    </row>
    <row r="23" spans="1:8" x14ac:dyDescent="0.25">
      <c r="A23" t="s">
        <v>48</v>
      </c>
      <c r="B23" s="13">
        <v>4120.0479999999998</v>
      </c>
      <c r="C23" s="13">
        <v>4112.5</v>
      </c>
      <c r="D23">
        <v>368.32417119457739</v>
      </c>
      <c r="E23" s="13">
        <v>3386.375</v>
      </c>
      <c r="F23" s="13">
        <v>4896.7749999999996</v>
      </c>
      <c r="G23" s="13">
        <v>1510.4</v>
      </c>
      <c r="H23" s="18">
        <f t="shared" si="1"/>
        <v>8.9398029147858812E-2</v>
      </c>
    </row>
    <row r="24" spans="1:8" x14ac:dyDescent="0.25">
      <c r="A24" t="s">
        <v>49</v>
      </c>
      <c r="B24" s="13">
        <v>470336.2</v>
      </c>
      <c r="C24" s="13">
        <v>470300</v>
      </c>
      <c r="D24">
        <v>41487.281649166587</v>
      </c>
      <c r="E24" s="13">
        <v>384537.5</v>
      </c>
      <c r="F24" s="13">
        <v>554787.5</v>
      </c>
      <c r="G24" s="13">
        <v>170250</v>
      </c>
      <c r="H24" s="18">
        <f t="shared" si="1"/>
        <v>8.8207715351628441E-2</v>
      </c>
    </row>
    <row r="26" spans="1:8" x14ac:dyDescent="0.25">
      <c r="A26" s="1" t="s">
        <v>77</v>
      </c>
    </row>
    <row r="27" spans="1:8" x14ac:dyDescent="0.25">
      <c r="A27" t="s">
        <v>39</v>
      </c>
      <c r="B27" s="9">
        <v>240260716279.8707</v>
      </c>
      <c r="C27" s="9">
        <v>239816172587.28891</v>
      </c>
      <c r="D27" s="16">
        <v>23140531618.542309</v>
      </c>
      <c r="E27" s="9">
        <v>199213281984.08319</v>
      </c>
      <c r="F27" s="9">
        <v>287256427555.94989</v>
      </c>
      <c r="G27" s="9">
        <v>88043145571.866669</v>
      </c>
      <c r="H27" s="18">
        <f>(D27/B27)</f>
        <v>9.63142538524141E-2</v>
      </c>
    </row>
    <row r="28" spans="1:8" x14ac:dyDescent="0.25">
      <c r="A28" t="s">
        <v>40</v>
      </c>
      <c r="B28" s="9">
        <v>190673838183.70929</v>
      </c>
      <c r="C28" s="9">
        <v>190234037707.79169</v>
      </c>
      <c r="D28" s="16">
        <v>16990938437.305149</v>
      </c>
      <c r="E28" s="9">
        <v>157084398744.98511</v>
      </c>
      <c r="F28" s="9">
        <v>223104833571.28339</v>
      </c>
      <c r="G28" s="9">
        <v>66020434826.298309</v>
      </c>
      <c r="H28" s="18">
        <f t="shared" ref="H28:H36" si="2">(D28/B28)</f>
        <v>8.9109961802598323E-2</v>
      </c>
    </row>
    <row r="29" spans="1:8" x14ac:dyDescent="0.25">
      <c r="A29" t="s">
        <v>36</v>
      </c>
      <c r="B29" s="12">
        <v>113731071.004886</v>
      </c>
      <c r="C29" s="12">
        <v>113409850.5894306</v>
      </c>
      <c r="D29">
        <v>6526612.7648983197</v>
      </c>
      <c r="E29" s="12">
        <v>101163313.5469237</v>
      </c>
      <c r="F29" s="12">
        <v>125969363.8637318</v>
      </c>
      <c r="G29" s="12">
        <v>24806050.316808101</v>
      </c>
      <c r="H29" s="18">
        <f t="shared" si="2"/>
        <v>5.7386365108774276E-2</v>
      </c>
    </row>
    <row r="30" spans="1:8" x14ac:dyDescent="0.25">
      <c r="A30" t="s">
        <v>37</v>
      </c>
      <c r="B30" s="12">
        <v>7109296.4349268936</v>
      </c>
      <c r="C30" s="12">
        <v>7046723.1293269759</v>
      </c>
      <c r="D30">
        <v>703913.64091818104</v>
      </c>
      <c r="E30" s="12">
        <v>5784311.7713648695</v>
      </c>
      <c r="F30" s="12">
        <v>8588466.7365968116</v>
      </c>
      <c r="G30" s="12">
        <v>2804154.965231942</v>
      </c>
      <c r="H30" s="18">
        <f t="shared" si="2"/>
        <v>9.9013122797912925E-2</v>
      </c>
    </row>
    <row r="31" spans="1:8" x14ac:dyDescent="0.25">
      <c r="A31" t="s">
        <v>73</v>
      </c>
      <c r="B31" s="7">
        <v>10394192</v>
      </c>
      <c r="C31" s="7">
        <v>10390400</v>
      </c>
      <c r="D31" s="7">
        <v>238099.86978573501</v>
      </c>
      <c r="E31" s="7">
        <v>9918390</v>
      </c>
      <c r="F31" s="7">
        <v>10909080</v>
      </c>
      <c r="G31" s="7">
        <v>990690</v>
      </c>
      <c r="H31" s="18">
        <f t="shared" si="2"/>
        <v>2.2907010933195672E-2</v>
      </c>
    </row>
    <row r="32" spans="1:8" x14ac:dyDescent="0.25">
      <c r="A32" t="s">
        <v>74</v>
      </c>
      <c r="B32" s="9">
        <v>430934554463.58002</v>
      </c>
      <c r="C32" s="9">
        <v>431059964578.16632</v>
      </c>
      <c r="D32" s="16">
        <v>35398918717.28067</v>
      </c>
      <c r="E32" s="9">
        <v>359566008622.63123</v>
      </c>
      <c r="F32" s="9">
        <v>504048692670.66052</v>
      </c>
      <c r="G32" s="9">
        <v>144482684048.0293</v>
      </c>
      <c r="H32" s="18">
        <f t="shared" si="2"/>
        <v>8.2144535291082982E-2</v>
      </c>
    </row>
    <row r="33" spans="1:8" x14ac:dyDescent="0.25">
      <c r="A33" t="s">
        <v>75</v>
      </c>
      <c r="B33" s="12">
        <v>120840367.4398129</v>
      </c>
      <c r="C33" s="12">
        <v>120648587.0492221</v>
      </c>
      <c r="D33">
        <v>6497177.0697089387</v>
      </c>
      <c r="E33" s="12">
        <v>107942306.31816471</v>
      </c>
      <c r="F33" s="12">
        <v>133218063.65315109</v>
      </c>
      <c r="G33" s="12">
        <v>25275757.334986329</v>
      </c>
      <c r="H33" s="18">
        <f t="shared" si="2"/>
        <v>5.3766611334949768E-2</v>
      </c>
    </row>
    <row r="34" spans="1:8" x14ac:dyDescent="0.25">
      <c r="A34" t="s">
        <v>47</v>
      </c>
      <c r="B34" s="13">
        <v>415585.8</v>
      </c>
      <c r="C34" s="13">
        <v>413800</v>
      </c>
      <c r="D34">
        <v>39710.714171366897</v>
      </c>
      <c r="E34" s="13">
        <v>333395</v>
      </c>
      <c r="F34" s="13">
        <v>503710</v>
      </c>
      <c r="G34" s="13">
        <v>170315</v>
      </c>
      <c r="H34" s="18">
        <f t="shared" si="2"/>
        <v>9.5553587661962702E-2</v>
      </c>
    </row>
    <row r="35" spans="1:8" x14ac:dyDescent="0.25">
      <c r="A35" t="s">
        <v>48</v>
      </c>
      <c r="B35" s="13">
        <v>4458.4939999999997</v>
      </c>
      <c r="C35" s="13">
        <v>4456.5</v>
      </c>
      <c r="D35">
        <v>412.78282581349379</v>
      </c>
      <c r="E35" s="13">
        <v>3639.9</v>
      </c>
      <c r="F35" s="13">
        <v>5366.2999999999993</v>
      </c>
      <c r="G35" s="13">
        <v>1726.399999999999</v>
      </c>
      <c r="H35" s="18">
        <f t="shared" si="2"/>
        <v>9.2583465585799551E-2</v>
      </c>
    </row>
    <row r="36" spans="1:8" x14ac:dyDescent="0.25">
      <c r="A36" t="s">
        <v>49</v>
      </c>
      <c r="B36" s="13">
        <v>507296</v>
      </c>
      <c r="C36" s="13">
        <v>508950</v>
      </c>
      <c r="D36">
        <v>46151.593723363592</v>
      </c>
      <c r="E36" s="13">
        <v>415565</v>
      </c>
      <c r="F36" s="13">
        <v>606232.49999999988</v>
      </c>
      <c r="G36" s="13">
        <v>190667.49999999991</v>
      </c>
      <c r="H36" s="18">
        <f t="shared" si="2"/>
        <v>9.097567046332633E-2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DAAA-63CC-414A-9B0C-52D106362E54}">
  <dimension ref="A1:O38"/>
  <sheetViews>
    <sheetView zoomScale="85" zoomScaleNormal="85" workbookViewId="0">
      <selection activeCell="H36" sqref="H36"/>
    </sheetView>
  </sheetViews>
  <sheetFormatPr defaultRowHeight="15" x14ac:dyDescent="0.25"/>
  <cols>
    <col min="1" max="3" width="20" bestFit="1" customWidth="1"/>
    <col min="4" max="4" width="20.28515625" bestFit="1" customWidth="1"/>
    <col min="5" max="5" width="20.85546875" bestFit="1" customWidth="1"/>
    <col min="6" max="7" width="14.28515625" bestFit="1" customWidth="1"/>
    <col min="8" max="8" width="20" bestFit="1" customWidth="1"/>
    <col min="9" max="9" width="20.85546875" bestFit="1" customWidth="1"/>
    <col min="10" max="10" width="11.5703125" bestFit="1" customWidth="1"/>
    <col min="11" max="11" width="15.7109375" bestFit="1" customWidth="1"/>
    <col min="12" max="12" width="12.7109375" bestFit="1" customWidth="1"/>
    <col min="13" max="13" width="10.28515625" bestFit="1" customWidth="1"/>
    <col min="14" max="14" width="10.85546875" bestFit="1" customWidth="1"/>
    <col min="15" max="15" width="8.85546875" bestFit="1" customWidth="1"/>
  </cols>
  <sheetData>
    <row r="1" spans="1:15" x14ac:dyDescent="0.25">
      <c r="A1" s="19" t="s">
        <v>39</v>
      </c>
      <c r="B1" s="19" t="s">
        <v>40</v>
      </c>
      <c r="C1" s="19" t="s">
        <v>36</v>
      </c>
      <c r="D1" s="19" t="s">
        <v>37</v>
      </c>
      <c r="E1" s="19" t="s">
        <v>73</v>
      </c>
      <c r="F1" s="19" t="s">
        <v>87</v>
      </c>
      <c r="G1" s="19" t="s">
        <v>88</v>
      </c>
      <c r="H1" s="19" t="s">
        <v>74</v>
      </c>
      <c r="I1" s="19" t="s">
        <v>75</v>
      </c>
      <c r="J1" s="19" t="s">
        <v>47</v>
      </c>
      <c r="K1" s="19" t="s">
        <v>48</v>
      </c>
      <c r="L1" s="19" t="s">
        <v>49</v>
      </c>
      <c r="M1" s="19" t="s">
        <v>89</v>
      </c>
      <c r="N1" s="19" t="s">
        <v>90</v>
      </c>
      <c r="O1" s="19" t="s">
        <v>91</v>
      </c>
    </row>
    <row r="2" spans="1:15" x14ac:dyDescent="0.25">
      <c r="A2" s="9">
        <v>239382367486.61319</v>
      </c>
      <c r="B2" s="9">
        <v>191805759535.3475</v>
      </c>
      <c r="C2" s="9">
        <v>113402750.2443172</v>
      </c>
      <c r="D2" s="15">
        <v>7128955.4279253446</v>
      </c>
      <c r="E2" s="7">
        <v>2467800</v>
      </c>
      <c r="F2" s="7">
        <v>10632500</v>
      </c>
      <c r="G2" s="7">
        <v>13253300</v>
      </c>
      <c r="H2" s="9">
        <v>431188127021.96057</v>
      </c>
      <c r="I2" s="15">
        <v>120531705.6722426</v>
      </c>
      <c r="J2" s="7">
        <v>411700</v>
      </c>
      <c r="K2" s="7">
        <v>4503</v>
      </c>
      <c r="L2" s="7">
        <v>509500</v>
      </c>
      <c r="M2" t="s">
        <v>92</v>
      </c>
      <c r="N2" t="s">
        <v>92</v>
      </c>
      <c r="O2">
        <v>0</v>
      </c>
    </row>
    <row r="3" spans="1:15" x14ac:dyDescent="0.25">
      <c r="A3" s="9">
        <v>221127734115.09961</v>
      </c>
      <c r="B3" s="9">
        <v>178017135103.9223</v>
      </c>
      <c r="C3" s="9">
        <v>110095589.61821561</v>
      </c>
      <c r="D3" s="15">
        <v>6617948.0695344452</v>
      </c>
      <c r="E3" s="7">
        <v>2312500</v>
      </c>
      <c r="F3" s="7">
        <v>11234200</v>
      </c>
      <c r="G3" s="7">
        <v>13253300</v>
      </c>
      <c r="H3" s="9">
        <v>399144869219.02191</v>
      </c>
      <c r="I3" s="15">
        <v>116713537.68775</v>
      </c>
      <c r="J3" s="7">
        <v>380300</v>
      </c>
      <c r="K3" s="7">
        <v>4280</v>
      </c>
      <c r="L3" s="7">
        <v>468700</v>
      </c>
      <c r="M3" t="s">
        <v>92</v>
      </c>
      <c r="N3" t="s">
        <v>92</v>
      </c>
      <c r="O3">
        <v>1</v>
      </c>
    </row>
    <row r="4" spans="1:15" x14ac:dyDescent="0.25">
      <c r="A4" s="9">
        <v>201912721853.37421</v>
      </c>
      <c r="B4" s="9">
        <v>162901742147.35001</v>
      </c>
      <c r="C4" s="9">
        <v>105981328.2967613</v>
      </c>
      <c r="D4" s="15">
        <v>6098326.2266660957</v>
      </c>
      <c r="E4" s="7">
        <v>2147200</v>
      </c>
      <c r="F4" s="7">
        <v>11876100</v>
      </c>
      <c r="G4" s="7">
        <v>13253300</v>
      </c>
      <c r="H4" s="9">
        <v>364814464000.72418</v>
      </c>
      <c r="I4" s="15">
        <v>112079654.5234274</v>
      </c>
      <c r="J4" s="7">
        <v>340500</v>
      </c>
      <c r="K4" s="7">
        <v>4072</v>
      </c>
      <c r="L4" s="7">
        <v>449200</v>
      </c>
      <c r="M4" t="s">
        <v>92</v>
      </c>
      <c r="N4" t="s">
        <v>92</v>
      </c>
      <c r="O4">
        <v>2</v>
      </c>
    </row>
    <row r="5" spans="1:15" x14ac:dyDescent="0.25">
      <c r="A5" s="9">
        <v>176760144368.57861</v>
      </c>
      <c r="B5" s="9">
        <v>144159293015.7352</v>
      </c>
      <c r="C5" s="9">
        <v>100287879.56581999</v>
      </c>
      <c r="D5" s="15">
        <v>5399696.0817542449</v>
      </c>
      <c r="E5" s="7">
        <v>1932200</v>
      </c>
      <c r="F5" s="7">
        <v>12640500</v>
      </c>
      <c r="G5" s="7">
        <v>13253300</v>
      </c>
      <c r="H5" s="9">
        <v>320919437384.31378</v>
      </c>
      <c r="I5" s="15">
        <v>105687575.6475742</v>
      </c>
      <c r="J5" s="7">
        <v>308500</v>
      </c>
      <c r="K5" s="7">
        <v>3811</v>
      </c>
      <c r="L5" s="7">
        <v>404300</v>
      </c>
      <c r="M5" t="s">
        <v>92</v>
      </c>
      <c r="N5" t="s">
        <v>92</v>
      </c>
      <c r="O5">
        <v>3</v>
      </c>
    </row>
    <row r="6" spans="1:15" x14ac:dyDescent="0.25">
      <c r="A6" s="9">
        <v>163997513150.8396</v>
      </c>
      <c r="B6" s="9">
        <v>133980863348.90739</v>
      </c>
      <c r="C6" s="9">
        <v>96138762.221790686</v>
      </c>
      <c r="D6" s="15">
        <v>5025022.4038267862</v>
      </c>
      <c r="E6" s="7">
        <v>1792600</v>
      </c>
      <c r="F6" s="7">
        <v>13265200</v>
      </c>
      <c r="G6" s="7">
        <v>13253300</v>
      </c>
      <c r="H6" s="9">
        <v>297978376499.74701</v>
      </c>
      <c r="I6" s="15">
        <v>101163784.6256175</v>
      </c>
      <c r="J6" s="7">
        <v>278700</v>
      </c>
      <c r="K6" s="7">
        <v>3591</v>
      </c>
      <c r="L6" s="7">
        <v>376600</v>
      </c>
      <c r="M6" t="s">
        <v>92</v>
      </c>
      <c r="N6" t="s">
        <v>92</v>
      </c>
      <c r="O6">
        <v>4</v>
      </c>
    </row>
    <row r="7" spans="1:15" x14ac:dyDescent="0.25">
      <c r="A7" s="9">
        <v>152993923343.8869</v>
      </c>
      <c r="B7" s="9">
        <v>124541558403.3481</v>
      </c>
      <c r="C7" s="9">
        <v>92732123.37854588</v>
      </c>
      <c r="D7" s="15">
        <v>4673580.2689611027</v>
      </c>
      <c r="E7" s="7">
        <v>1685700</v>
      </c>
      <c r="F7" s="7">
        <v>13807900</v>
      </c>
      <c r="G7" s="7">
        <v>13253300</v>
      </c>
      <c r="H7" s="9">
        <v>277535481747.23499</v>
      </c>
      <c r="I7" s="15">
        <v>97405703.647506982</v>
      </c>
      <c r="J7" s="7">
        <v>253900</v>
      </c>
      <c r="K7" s="7">
        <v>3574</v>
      </c>
      <c r="L7" s="7">
        <v>347100</v>
      </c>
      <c r="M7" t="s">
        <v>92</v>
      </c>
      <c r="N7" t="s">
        <v>92</v>
      </c>
      <c r="O7">
        <v>5</v>
      </c>
    </row>
    <row r="8" spans="1:15" x14ac:dyDescent="0.25">
      <c r="A8" s="9">
        <v>144918365315.15939</v>
      </c>
      <c r="B8" s="9">
        <v>119925727313.45171</v>
      </c>
      <c r="C8" s="9">
        <v>90412784.468390957</v>
      </c>
      <c r="D8" s="15">
        <v>4492505.6404262362</v>
      </c>
      <c r="E8" s="7">
        <v>1612200</v>
      </c>
      <c r="F8" s="7">
        <v>14169600</v>
      </c>
      <c r="G8" s="7">
        <v>13253300</v>
      </c>
      <c r="H8" s="9">
        <v>264844092628.61111</v>
      </c>
      <c r="I8" s="15">
        <v>94905290.10881719</v>
      </c>
      <c r="J8" s="7">
        <v>238200</v>
      </c>
      <c r="K8" s="7">
        <v>3362</v>
      </c>
      <c r="L8" s="7">
        <v>343900</v>
      </c>
      <c r="M8" t="s">
        <v>92</v>
      </c>
      <c r="N8" t="s">
        <v>92</v>
      </c>
      <c r="O8">
        <v>6</v>
      </c>
    </row>
    <row r="9" spans="1:15" x14ac:dyDescent="0.25">
      <c r="A9" s="9">
        <v>136450336319.6187</v>
      </c>
      <c r="B9" s="9">
        <v>112152349112.2178</v>
      </c>
      <c r="C9" s="9">
        <v>87794383.0814749</v>
      </c>
      <c r="D9" s="15">
        <v>4210311.5831778739</v>
      </c>
      <c r="E9" s="7">
        <v>1535000</v>
      </c>
      <c r="F9" s="7">
        <v>14560400</v>
      </c>
      <c r="G9" s="7">
        <v>13253300</v>
      </c>
      <c r="H9" s="9">
        <v>248602685431.83649</v>
      </c>
      <c r="I9" s="15">
        <v>92004694.66465278</v>
      </c>
      <c r="J9" s="7">
        <v>227000</v>
      </c>
      <c r="K9" s="7">
        <v>3282</v>
      </c>
      <c r="L9" s="7">
        <v>328300</v>
      </c>
      <c r="M9" t="s">
        <v>92</v>
      </c>
      <c r="N9" t="s">
        <v>92</v>
      </c>
      <c r="O9">
        <v>7</v>
      </c>
    </row>
    <row r="10" spans="1:15" x14ac:dyDescent="0.25">
      <c r="A10" s="9">
        <v>128005820629.619</v>
      </c>
      <c r="B10" s="9">
        <v>108045655131.0074</v>
      </c>
      <c r="C10" s="9">
        <v>85689870.249655291</v>
      </c>
      <c r="D10" s="15">
        <v>4091460.6347924238</v>
      </c>
      <c r="E10" s="7">
        <v>1479900</v>
      </c>
      <c r="F10" s="7">
        <v>14912800</v>
      </c>
      <c r="G10" s="7">
        <v>13253300</v>
      </c>
      <c r="H10" s="9">
        <v>236051475760.6265</v>
      </c>
      <c r="I10" s="15">
        <v>89781330.884447724</v>
      </c>
      <c r="J10" s="7">
        <v>220800</v>
      </c>
      <c r="K10" s="7">
        <v>3203</v>
      </c>
      <c r="L10" s="7">
        <v>317600</v>
      </c>
      <c r="M10" t="s">
        <v>92</v>
      </c>
      <c r="N10" t="s">
        <v>92</v>
      </c>
      <c r="O10">
        <v>8</v>
      </c>
    </row>
    <row r="11" spans="1:15" x14ac:dyDescent="0.25">
      <c r="A11" s="9">
        <v>120657442045.4301</v>
      </c>
      <c r="B11" s="9">
        <v>102014668185.8623</v>
      </c>
      <c r="C11" s="9">
        <v>83242830.503810108</v>
      </c>
      <c r="D11" s="15">
        <v>3857868.1025497862</v>
      </c>
      <c r="E11" s="7">
        <v>1415200</v>
      </c>
      <c r="F11" s="7">
        <v>15350300</v>
      </c>
      <c r="G11" s="7">
        <v>13253300</v>
      </c>
      <c r="H11" s="9">
        <v>222672110231.29239</v>
      </c>
      <c r="I11" s="15">
        <v>87100698.606359884</v>
      </c>
      <c r="J11" s="7">
        <v>209800</v>
      </c>
      <c r="K11" s="7">
        <v>2978</v>
      </c>
      <c r="L11" s="7">
        <v>309700</v>
      </c>
      <c r="M11" t="s">
        <v>92</v>
      </c>
      <c r="N11" t="s">
        <v>92</v>
      </c>
      <c r="O11">
        <v>9</v>
      </c>
    </row>
    <row r="12" spans="1:15" x14ac:dyDescent="0.25">
      <c r="A12" s="9">
        <v>108735093083.32941</v>
      </c>
      <c r="B12" s="9">
        <v>93596506927.318985</v>
      </c>
      <c r="C12" s="9">
        <v>81598831.857019484</v>
      </c>
      <c r="D12" s="15">
        <v>3511228.147401459</v>
      </c>
      <c r="E12" s="7">
        <v>1274800</v>
      </c>
      <c r="F12" s="7">
        <v>15640300</v>
      </c>
      <c r="G12" s="7">
        <v>13253300</v>
      </c>
      <c r="H12" s="9">
        <v>202331600010.64828</v>
      </c>
      <c r="I12" s="15">
        <v>85110060.004420936</v>
      </c>
      <c r="J12" s="7">
        <v>182200</v>
      </c>
      <c r="K12" s="7">
        <v>2786</v>
      </c>
      <c r="L12" s="7">
        <v>287200</v>
      </c>
      <c r="M12" t="s">
        <v>93</v>
      </c>
      <c r="N12" t="s">
        <v>94</v>
      </c>
      <c r="O12">
        <v>0</v>
      </c>
    </row>
    <row r="13" spans="1:15" x14ac:dyDescent="0.25">
      <c r="A13" s="9">
        <v>109423001476.03751</v>
      </c>
      <c r="B13" s="9">
        <v>90783927563.210815</v>
      </c>
      <c r="C13" s="9">
        <v>79394404.745730594</v>
      </c>
      <c r="D13" s="15">
        <v>3415818.0320668439</v>
      </c>
      <c r="E13" s="7">
        <v>1243300</v>
      </c>
      <c r="F13" s="7">
        <v>15906800</v>
      </c>
      <c r="G13" s="7">
        <v>13253300</v>
      </c>
      <c r="H13" s="9">
        <v>200206929039.24829</v>
      </c>
      <c r="I13" s="15">
        <v>82810222.777797446</v>
      </c>
      <c r="J13" s="7">
        <v>171800</v>
      </c>
      <c r="K13" s="7">
        <v>2886</v>
      </c>
      <c r="L13" s="7">
        <v>285500</v>
      </c>
      <c r="M13" t="s">
        <v>93</v>
      </c>
      <c r="N13" t="s">
        <v>94</v>
      </c>
      <c r="O13">
        <v>1</v>
      </c>
    </row>
    <row r="14" spans="1:15" x14ac:dyDescent="0.25">
      <c r="A14" s="9">
        <v>100197685283.55209</v>
      </c>
      <c r="B14" s="9">
        <v>85154623442.481873</v>
      </c>
      <c r="C14" s="9">
        <v>77616960.553697333</v>
      </c>
      <c r="D14" s="15">
        <v>3210190.4000670598</v>
      </c>
      <c r="E14" s="7">
        <v>1178100</v>
      </c>
      <c r="F14" s="7">
        <v>16319600</v>
      </c>
      <c r="G14" s="7">
        <v>13253300</v>
      </c>
      <c r="H14" s="9">
        <v>185352308726.03391</v>
      </c>
      <c r="I14" s="15">
        <v>80827150.953764394</v>
      </c>
      <c r="J14" s="7">
        <v>162300</v>
      </c>
      <c r="K14" s="7">
        <v>2706</v>
      </c>
      <c r="L14" s="7">
        <v>266100</v>
      </c>
      <c r="M14" t="s">
        <v>93</v>
      </c>
      <c r="N14" t="s">
        <v>94</v>
      </c>
      <c r="O14">
        <v>2</v>
      </c>
    </row>
    <row r="15" spans="1:15" x14ac:dyDescent="0.25">
      <c r="A15" s="9">
        <v>95640370947.942139</v>
      </c>
      <c r="B15" s="9">
        <v>82006595885.598785</v>
      </c>
      <c r="C15" s="9">
        <v>76203421.073480159</v>
      </c>
      <c r="D15" s="15">
        <v>3099700.2970521329</v>
      </c>
      <c r="E15" s="7">
        <v>1136900</v>
      </c>
      <c r="F15" s="7">
        <v>16430000</v>
      </c>
      <c r="G15" s="7">
        <v>13253300</v>
      </c>
      <c r="H15" s="9">
        <v>177646966833.54089</v>
      </c>
      <c r="I15" s="15">
        <v>79303121.370532289</v>
      </c>
      <c r="J15" s="7">
        <v>152400</v>
      </c>
      <c r="K15" s="7">
        <v>2695</v>
      </c>
      <c r="L15" s="7">
        <v>267400</v>
      </c>
      <c r="M15" t="s">
        <v>93</v>
      </c>
      <c r="N15" t="s">
        <v>94</v>
      </c>
      <c r="O15">
        <v>3</v>
      </c>
    </row>
    <row r="16" spans="1:15" x14ac:dyDescent="0.25">
      <c r="A16" s="9">
        <v>91730549070.400589</v>
      </c>
      <c r="B16" s="9">
        <v>80973925394.979507</v>
      </c>
      <c r="C16" s="9">
        <v>74635818.405969799</v>
      </c>
      <c r="D16" s="15">
        <v>3046627.2174448031</v>
      </c>
      <c r="E16" s="7">
        <v>1119800</v>
      </c>
      <c r="F16" s="7">
        <v>16773900</v>
      </c>
      <c r="G16" s="7">
        <v>13253300</v>
      </c>
      <c r="H16" s="9">
        <v>172704474465.3801</v>
      </c>
      <c r="I16" s="15">
        <v>77682445.623414606</v>
      </c>
      <c r="J16" s="7">
        <v>142600</v>
      </c>
      <c r="K16" s="7">
        <v>2683</v>
      </c>
      <c r="L16" s="7">
        <v>260900</v>
      </c>
      <c r="M16" t="s">
        <v>93</v>
      </c>
      <c r="N16" t="s">
        <v>94</v>
      </c>
      <c r="O16">
        <v>4</v>
      </c>
    </row>
    <row r="17" spans="1:15" x14ac:dyDescent="0.25">
      <c r="A17" s="9">
        <v>86955203342.234268</v>
      </c>
      <c r="B17" s="9">
        <v>75130823022.149033</v>
      </c>
      <c r="C17" s="9">
        <v>72877398.016728595</v>
      </c>
      <c r="D17" s="15">
        <v>2854767.5486943619</v>
      </c>
      <c r="E17" s="7">
        <v>1067800</v>
      </c>
      <c r="F17" s="7">
        <v>16945500</v>
      </c>
      <c r="G17" s="7">
        <v>13253300</v>
      </c>
      <c r="H17" s="9">
        <v>162086026364.3833</v>
      </c>
      <c r="I17" s="15">
        <v>75732165.565422952</v>
      </c>
      <c r="J17" s="7">
        <v>134100</v>
      </c>
      <c r="K17" s="7">
        <v>2590</v>
      </c>
      <c r="L17" s="7">
        <v>252000</v>
      </c>
      <c r="M17" t="s">
        <v>93</v>
      </c>
      <c r="N17" t="s">
        <v>94</v>
      </c>
      <c r="O17">
        <v>5</v>
      </c>
    </row>
    <row r="18" spans="1:15" x14ac:dyDescent="0.25">
      <c r="A18" s="9">
        <v>85882175511.829712</v>
      </c>
      <c r="B18" s="9">
        <v>74094820724.267609</v>
      </c>
      <c r="C18" s="9">
        <v>71207140.819942772</v>
      </c>
      <c r="D18" s="15">
        <v>2811678.7106993129</v>
      </c>
      <c r="E18" s="7">
        <v>1046000</v>
      </c>
      <c r="F18" s="7">
        <v>17346100</v>
      </c>
      <c r="G18" s="7">
        <v>13253300</v>
      </c>
      <c r="H18" s="9">
        <v>159976996236.09741</v>
      </c>
      <c r="I18" s="15">
        <v>74018819.530642092</v>
      </c>
      <c r="J18" s="7">
        <v>130800</v>
      </c>
      <c r="K18" s="7">
        <v>2464</v>
      </c>
      <c r="L18" s="7">
        <v>246500</v>
      </c>
      <c r="M18" t="s">
        <v>93</v>
      </c>
      <c r="N18" t="s">
        <v>94</v>
      </c>
      <c r="O18">
        <v>6</v>
      </c>
    </row>
    <row r="19" spans="1:15" x14ac:dyDescent="0.25">
      <c r="A19" s="9">
        <v>81951036713.306122</v>
      </c>
      <c r="B19" s="9">
        <v>72592528301.854675</v>
      </c>
      <c r="C19" s="9">
        <v>69986835.105567932</v>
      </c>
      <c r="D19" s="15">
        <v>2741165.7293851431</v>
      </c>
      <c r="E19" s="7">
        <v>1015000</v>
      </c>
      <c r="F19" s="7">
        <v>17435200</v>
      </c>
      <c r="G19" s="7">
        <v>13253300</v>
      </c>
      <c r="H19" s="9">
        <v>154543565015.1608</v>
      </c>
      <c r="I19" s="15">
        <v>72728000.83495307</v>
      </c>
      <c r="J19" s="7">
        <v>123800</v>
      </c>
      <c r="K19" s="7">
        <v>2523</v>
      </c>
      <c r="L19" s="7">
        <v>245800</v>
      </c>
      <c r="M19" t="s">
        <v>93</v>
      </c>
      <c r="N19" t="s">
        <v>94</v>
      </c>
      <c r="O19">
        <v>7</v>
      </c>
    </row>
    <row r="20" spans="1:15" x14ac:dyDescent="0.25">
      <c r="A20" s="9">
        <v>76818876658.861755</v>
      </c>
      <c r="B20" s="9">
        <v>68911904142.470322</v>
      </c>
      <c r="C20" s="9">
        <v>68370830.722493857</v>
      </c>
      <c r="D20" s="15">
        <v>2609439.3114481159</v>
      </c>
      <c r="E20" s="7">
        <v>975600</v>
      </c>
      <c r="F20" s="7">
        <v>17657200</v>
      </c>
      <c r="G20" s="7">
        <v>13253300</v>
      </c>
      <c r="H20" s="9">
        <v>145730780801.33209</v>
      </c>
      <c r="I20" s="15">
        <v>70980270.033941984</v>
      </c>
      <c r="J20" s="7">
        <v>113100</v>
      </c>
      <c r="K20" s="7">
        <v>2504</v>
      </c>
      <c r="L20" s="7">
        <v>238400</v>
      </c>
      <c r="M20" t="s">
        <v>93</v>
      </c>
      <c r="N20" t="s">
        <v>94</v>
      </c>
      <c r="O20">
        <v>8</v>
      </c>
    </row>
    <row r="21" spans="1:15" x14ac:dyDescent="0.25">
      <c r="A21" s="9">
        <v>73399465170.938919</v>
      </c>
      <c r="B21" s="9">
        <v>65165528545.050087</v>
      </c>
      <c r="C21" s="9">
        <v>67099101.584028393</v>
      </c>
      <c r="D21" s="15">
        <v>2502977.3347227559</v>
      </c>
      <c r="E21" s="7">
        <v>950400</v>
      </c>
      <c r="F21" s="7">
        <v>17924100</v>
      </c>
      <c r="G21" s="7">
        <v>13253300</v>
      </c>
      <c r="H21" s="9">
        <v>138564993715.98901</v>
      </c>
      <c r="I21" s="15">
        <v>69602078.91875115</v>
      </c>
      <c r="J21" s="7">
        <v>116000</v>
      </c>
      <c r="K21" s="7">
        <v>2418</v>
      </c>
      <c r="L21" s="7">
        <v>237900</v>
      </c>
      <c r="M21" t="s">
        <v>93</v>
      </c>
      <c r="N21" t="s">
        <v>94</v>
      </c>
      <c r="O21">
        <v>9</v>
      </c>
    </row>
    <row r="22" spans="1:15" x14ac:dyDescent="0.25">
      <c r="A22" s="9">
        <v>126390372809.6935</v>
      </c>
      <c r="B22" s="9">
        <v>105373522173.03571</v>
      </c>
      <c r="C22" s="9">
        <v>81236101.103773877</v>
      </c>
      <c r="D22" s="15">
        <v>3982969.29689404</v>
      </c>
      <c r="E22" s="7">
        <v>1496600</v>
      </c>
      <c r="F22" s="7">
        <v>15674400</v>
      </c>
      <c r="G22" s="7">
        <v>13253300</v>
      </c>
      <c r="H22" s="9">
        <v>231763894982.72919</v>
      </c>
      <c r="I22" s="15">
        <v>85219070.400667906</v>
      </c>
      <c r="J22" s="7">
        <v>213200</v>
      </c>
      <c r="K22" s="7">
        <v>3279</v>
      </c>
      <c r="L22" s="7">
        <v>324900</v>
      </c>
      <c r="M22" t="s">
        <v>93</v>
      </c>
      <c r="N22" t="s">
        <v>95</v>
      </c>
      <c r="O22">
        <v>0</v>
      </c>
    </row>
    <row r="23" spans="1:15" x14ac:dyDescent="0.25">
      <c r="A23" s="9">
        <v>118304773637.37759</v>
      </c>
      <c r="B23" s="9">
        <v>99704209696.866455</v>
      </c>
      <c r="C23" s="9">
        <v>79411457.947454974</v>
      </c>
      <c r="D23" s="15">
        <v>3783144.0791737079</v>
      </c>
      <c r="E23" s="7">
        <v>1417100</v>
      </c>
      <c r="F23" s="7">
        <v>15953000</v>
      </c>
      <c r="G23" s="7">
        <v>13253300</v>
      </c>
      <c r="H23" s="9">
        <v>218008983334.24399</v>
      </c>
      <c r="I23" s="15">
        <v>83194602.026628673</v>
      </c>
      <c r="J23" s="7">
        <v>196300</v>
      </c>
      <c r="K23" s="7">
        <v>3088</v>
      </c>
      <c r="L23" s="7">
        <v>311400</v>
      </c>
      <c r="M23" t="s">
        <v>93</v>
      </c>
      <c r="N23" t="s">
        <v>95</v>
      </c>
      <c r="O23">
        <v>1</v>
      </c>
    </row>
    <row r="24" spans="1:15" x14ac:dyDescent="0.25">
      <c r="A24" s="9">
        <v>111686393630.6927</v>
      </c>
      <c r="B24" s="9">
        <v>96051178020.112198</v>
      </c>
      <c r="C24" s="9">
        <v>77575149.250238732</v>
      </c>
      <c r="D24" s="15">
        <v>3652082.2312619891</v>
      </c>
      <c r="E24" s="7">
        <v>1387600</v>
      </c>
      <c r="F24" s="7">
        <v>16302900</v>
      </c>
      <c r="G24" s="7">
        <v>13253300</v>
      </c>
      <c r="H24" s="9">
        <v>207737571650.8049</v>
      </c>
      <c r="I24" s="15">
        <v>81227231.48150073</v>
      </c>
      <c r="J24" s="7">
        <v>192200</v>
      </c>
      <c r="K24" s="7">
        <v>3066</v>
      </c>
      <c r="L24" s="7">
        <v>305000</v>
      </c>
      <c r="M24" t="s">
        <v>93</v>
      </c>
      <c r="N24" t="s">
        <v>95</v>
      </c>
      <c r="O24">
        <v>2</v>
      </c>
    </row>
    <row r="25" spans="1:15" x14ac:dyDescent="0.25">
      <c r="A25" s="9">
        <v>108132890639.621</v>
      </c>
      <c r="B25" s="9">
        <v>92640978555.433258</v>
      </c>
      <c r="C25" s="9">
        <v>76126924.293776438</v>
      </c>
      <c r="D25" s="15">
        <v>3527632.864484143</v>
      </c>
      <c r="E25" s="7">
        <v>1344500</v>
      </c>
      <c r="F25" s="7">
        <v>16464500</v>
      </c>
      <c r="G25" s="7">
        <v>13253300</v>
      </c>
      <c r="H25" s="9">
        <v>200773869195.05429</v>
      </c>
      <c r="I25" s="15">
        <v>79654557.158260584</v>
      </c>
      <c r="J25" s="7">
        <v>176200</v>
      </c>
      <c r="K25" s="7">
        <v>3093</v>
      </c>
      <c r="L25" s="7">
        <v>293800</v>
      </c>
      <c r="M25" t="s">
        <v>93</v>
      </c>
      <c r="N25" t="s">
        <v>95</v>
      </c>
      <c r="O25">
        <v>3</v>
      </c>
    </row>
    <row r="26" spans="1:15" x14ac:dyDescent="0.25">
      <c r="A26" s="9">
        <v>105617559321.5359</v>
      </c>
      <c r="B26" s="9">
        <v>89978856136.591721</v>
      </c>
      <c r="C26" s="9">
        <v>74352462.319808558</v>
      </c>
      <c r="D26" s="15">
        <v>3443890.963112663</v>
      </c>
      <c r="E26" s="7">
        <v>1303300</v>
      </c>
      <c r="F26" s="7">
        <v>16825500</v>
      </c>
      <c r="G26" s="7">
        <v>13253300</v>
      </c>
      <c r="H26" s="9">
        <v>195596415458.12759</v>
      </c>
      <c r="I26" s="15">
        <v>77796353.282921225</v>
      </c>
      <c r="J26" s="7">
        <v>166200</v>
      </c>
      <c r="K26" s="7">
        <v>3031</v>
      </c>
      <c r="L26" s="7">
        <v>288300</v>
      </c>
      <c r="M26" t="s">
        <v>93</v>
      </c>
      <c r="N26" t="s">
        <v>95</v>
      </c>
      <c r="O26">
        <v>4</v>
      </c>
    </row>
    <row r="27" spans="1:15" x14ac:dyDescent="0.25">
      <c r="A27" s="9">
        <v>99182909049.574448</v>
      </c>
      <c r="B27" s="9">
        <v>85956385002.295273</v>
      </c>
      <c r="C27" s="9">
        <v>72640469.972655654</v>
      </c>
      <c r="D27" s="15">
        <v>3278054.005462796</v>
      </c>
      <c r="E27" s="7">
        <v>1248700</v>
      </c>
      <c r="F27" s="7">
        <v>16999500</v>
      </c>
      <c r="G27" s="7">
        <v>13253300</v>
      </c>
      <c r="H27" s="9">
        <v>185139294051.86969</v>
      </c>
      <c r="I27" s="15">
        <v>75918523.978118449</v>
      </c>
      <c r="J27" s="7">
        <v>158400</v>
      </c>
      <c r="K27" s="7">
        <v>2826</v>
      </c>
      <c r="L27" s="7">
        <v>268300</v>
      </c>
      <c r="M27" t="s">
        <v>93</v>
      </c>
      <c r="N27" t="s">
        <v>95</v>
      </c>
      <c r="O27">
        <v>5</v>
      </c>
    </row>
    <row r="28" spans="1:15" x14ac:dyDescent="0.25">
      <c r="A28" s="9">
        <v>95109399378.065948</v>
      </c>
      <c r="B28" s="9">
        <v>82483307698.712067</v>
      </c>
      <c r="C28" s="9">
        <v>71285394.016099662</v>
      </c>
      <c r="D28" s="15">
        <v>3165418.6829406628</v>
      </c>
      <c r="E28" s="7">
        <v>1218200</v>
      </c>
      <c r="F28" s="7">
        <v>17350700</v>
      </c>
      <c r="G28" s="7">
        <v>13253300</v>
      </c>
      <c r="H28" s="9">
        <v>177592707076.77802</v>
      </c>
      <c r="I28" s="15">
        <v>74450812.699040323</v>
      </c>
      <c r="J28" s="7">
        <v>148600</v>
      </c>
      <c r="K28" s="7">
        <v>2906</v>
      </c>
      <c r="L28" s="7">
        <v>270900</v>
      </c>
      <c r="M28" t="s">
        <v>93</v>
      </c>
      <c r="N28" t="s">
        <v>95</v>
      </c>
      <c r="O28">
        <v>6</v>
      </c>
    </row>
    <row r="29" spans="1:15" x14ac:dyDescent="0.25">
      <c r="A29" s="9">
        <v>91188323058.414673</v>
      </c>
      <c r="B29" s="9">
        <v>78377278569.057129</v>
      </c>
      <c r="C29" s="9">
        <v>69891660.571851119</v>
      </c>
      <c r="D29" s="15">
        <v>3019048.2210556278</v>
      </c>
      <c r="E29" s="7">
        <v>1172100</v>
      </c>
      <c r="F29" s="7">
        <v>17460900</v>
      </c>
      <c r="G29" s="7">
        <v>13253300</v>
      </c>
      <c r="H29" s="9">
        <v>169565601627.4718</v>
      </c>
      <c r="I29" s="15">
        <v>72910708.792906746</v>
      </c>
      <c r="J29" s="7">
        <v>148000</v>
      </c>
      <c r="K29" s="7">
        <v>2689</v>
      </c>
      <c r="L29" s="7">
        <v>268900</v>
      </c>
      <c r="M29" t="s">
        <v>93</v>
      </c>
      <c r="N29" t="s">
        <v>95</v>
      </c>
      <c r="O29">
        <v>7</v>
      </c>
    </row>
    <row r="30" spans="1:15" x14ac:dyDescent="0.25">
      <c r="A30" s="9">
        <v>88382841318.993546</v>
      </c>
      <c r="B30" s="9">
        <v>76285185527.855362</v>
      </c>
      <c r="C30" s="9">
        <v>68249168.061928049</v>
      </c>
      <c r="D30" s="15">
        <v>2943219.5753353671</v>
      </c>
      <c r="E30" s="7">
        <v>1156000</v>
      </c>
      <c r="F30" s="7">
        <v>17690100</v>
      </c>
      <c r="G30" s="7">
        <v>13253300</v>
      </c>
      <c r="H30" s="9">
        <v>164668026846.84891</v>
      </c>
      <c r="I30" s="15">
        <v>71192387.637263417</v>
      </c>
      <c r="J30" s="7">
        <v>142500</v>
      </c>
      <c r="K30" s="7">
        <v>2776</v>
      </c>
      <c r="L30" s="7">
        <v>260300</v>
      </c>
      <c r="M30" t="s">
        <v>93</v>
      </c>
      <c r="N30" t="s">
        <v>95</v>
      </c>
      <c r="O30">
        <v>8</v>
      </c>
    </row>
    <row r="31" spans="1:15" x14ac:dyDescent="0.25">
      <c r="A31" s="9">
        <v>83946760469.126602</v>
      </c>
      <c r="B31" s="9">
        <v>72899586230.018616</v>
      </c>
      <c r="C31" s="9">
        <v>66876321.931628764</v>
      </c>
      <c r="D31" s="15">
        <v>2826850.067939939</v>
      </c>
      <c r="E31" s="7">
        <v>1098700</v>
      </c>
      <c r="F31" s="7">
        <v>17960700</v>
      </c>
      <c r="G31" s="7">
        <v>13253300</v>
      </c>
      <c r="H31" s="9">
        <v>156846346699.1452</v>
      </c>
      <c r="I31" s="15">
        <v>69703171.999568686</v>
      </c>
      <c r="J31" s="7">
        <v>133200</v>
      </c>
      <c r="K31" s="7">
        <v>2757</v>
      </c>
      <c r="L31" s="7">
        <v>250900</v>
      </c>
      <c r="M31" t="s">
        <v>93</v>
      </c>
      <c r="N31" t="s">
        <v>95</v>
      </c>
      <c r="O31">
        <v>9</v>
      </c>
    </row>
    <row r="35" spans="1:6" x14ac:dyDescent="0.25">
      <c r="A35" s="19" t="s">
        <v>96</v>
      </c>
      <c r="B35" s="19" t="s">
        <v>66</v>
      </c>
      <c r="C35" s="19" t="s">
        <v>97</v>
      </c>
      <c r="D35" s="19" t="s">
        <v>98</v>
      </c>
      <c r="E35" s="19" t="s">
        <v>99</v>
      </c>
      <c r="F35" s="19" t="s">
        <v>100</v>
      </c>
    </row>
    <row r="36" spans="1:6" x14ac:dyDescent="0.25">
      <c r="A36" t="s">
        <v>93</v>
      </c>
      <c r="B36" t="s">
        <v>74</v>
      </c>
      <c r="C36" s="9">
        <v>169914464120.7814</v>
      </c>
      <c r="D36" s="9">
        <v>190769271092.3074</v>
      </c>
      <c r="E36" s="9">
        <v>20854806971.52594</v>
      </c>
      <c r="F36" s="12">
        <v>12.27370905675315</v>
      </c>
    </row>
    <row r="37" spans="1:6" x14ac:dyDescent="0.25">
      <c r="A37" t="s">
        <v>93</v>
      </c>
      <c r="B37" t="s">
        <v>75</v>
      </c>
      <c r="C37" s="15">
        <v>76879433.561364084</v>
      </c>
      <c r="D37" s="15">
        <v>77126741.945687681</v>
      </c>
      <c r="E37" s="15">
        <v>247308.38432359701</v>
      </c>
      <c r="F37" s="12">
        <v>0.32168341111176219</v>
      </c>
    </row>
    <row r="38" spans="1:6" x14ac:dyDescent="0.25">
      <c r="A38" t="s">
        <v>93</v>
      </c>
      <c r="B38" t="s">
        <v>73</v>
      </c>
      <c r="C38" s="7">
        <v>1100770</v>
      </c>
      <c r="D38" s="7">
        <v>1284280</v>
      </c>
      <c r="E38" s="7">
        <v>183510</v>
      </c>
      <c r="F38" s="12">
        <v>16.671057532454551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25%</vt:lpstr>
      <vt:lpstr>50%</vt:lpstr>
      <vt:lpstr>75%</vt:lpstr>
      <vt:lpstr>Total_Results</vt:lpstr>
      <vt:lpstr>PSA</vt:lpstr>
      <vt:lpstr>OneWay_Sensitivity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Coote</dc:creator>
  <cp:lastModifiedBy>Edward Coote</cp:lastModifiedBy>
  <dcterms:created xsi:type="dcterms:W3CDTF">2026-01-30T09:47:00Z</dcterms:created>
  <dcterms:modified xsi:type="dcterms:W3CDTF">2026-02-03T16:18:30Z</dcterms:modified>
</cp:coreProperties>
</file>