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"/>
    </mc:Choice>
  </mc:AlternateContent>
  <xr:revisionPtr revIDLastSave="0" documentId="13_ncr:1_{E70A8A54-620E-4032-B42B-5840E48A1E83}" xr6:coauthVersionLast="47" xr6:coauthVersionMax="47" xr10:uidLastSave="{00000000-0000-0000-0000-000000000000}"/>
  <bookViews>
    <workbookView xWindow="-105" yWindow="0" windowWidth="19620" windowHeight="20985" xr2:uid="{00000000-000D-0000-FFFF-FFFF00000000}"/>
  </bookViews>
  <sheets>
    <sheet name="Raw_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N24" i="2"/>
  <c r="N23" i="2"/>
  <c r="N21" i="2"/>
  <c r="N20" i="2"/>
  <c r="N18" i="2"/>
  <c r="N17" i="2"/>
  <c r="L24" i="2"/>
  <c r="L23" i="2"/>
  <c r="L21" i="2"/>
  <c r="L20" i="2"/>
  <c r="L18" i="2"/>
  <c r="J20" i="2"/>
  <c r="J23" i="2"/>
  <c r="J24" i="2"/>
  <c r="J21" i="2"/>
  <c r="J18" i="2"/>
  <c r="J17" i="2"/>
  <c r="F23" i="2"/>
  <c r="H24" i="2"/>
  <c r="H23" i="2"/>
  <c r="H21" i="2"/>
  <c r="H20" i="2"/>
  <c r="H18" i="2"/>
  <c r="H17" i="2"/>
  <c r="F24" i="2"/>
  <c r="F21" i="2"/>
  <c r="F20" i="2"/>
  <c r="F18" i="2"/>
  <c r="F17" i="2"/>
  <c r="D17" i="2"/>
  <c r="D24" i="2"/>
  <c r="D23" i="2"/>
  <c r="D21" i="2"/>
  <c r="D20" i="2"/>
  <c r="D18" i="2"/>
</calcChain>
</file>

<file path=xl/sharedStrings.xml><?xml version="1.0" encoding="utf-8"?>
<sst xmlns="http://schemas.openxmlformats.org/spreadsheetml/2006/main" count="95" uniqueCount="21">
  <si>
    <t>total_costs_nhs</t>
  </si>
  <si>
    <t>total_costs_informal</t>
  </si>
  <si>
    <t>total_qalys_patient</t>
  </si>
  <si>
    <t>total_qalys_caregiver</t>
  </si>
  <si>
    <t>incident_onsets_total</t>
  </si>
  <si>
    <t>total_costs_all</t>
  </si>
  <si>
    <t>total_qalys_combined</t>
  </si>
  <si>
    <t>stage_mild</t>
  </si>
  <si>
    <t>stage_moderate</t>
  </si>
  <si>
    <t>stage_severe</t>
  </si>
  <si>
    <t>parameter</t>
  </si>
  <si>
    <t>value_type</t>
  </si>
  <si>
    <t>replicate</t>
  </si>
  <si>
    <t>prevalence</t>
  </si>
  <si>
    <t>baseline</t>
  </si>
  <si>
    <t>onset_hr</t>
  </si>
  <si>
    <t>low</t>
  </si>
  <si>
    <t>high</t>
  </si>
  <si>
    <t>mean</t>
  </si>
  <si>
    <t>std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</si>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</sst>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2" applyFont="1"/>
    <xf numFmtId="43" fontId="0" fillId="0" borderId="0" xfId="1" applyFont="1"/>
    <xf numFmtId="164" fontId="0" fillId="0" borderId="0" xfId="1" applyNumberFormat="1" applyFont="1"/>
    <xf numFmtId="9" fontId="0" fillId="0" borderId="0" xfId="3" applyFont="1"/>
    <xf numFmtId="0" fontId="1" fillId="0" borderId="1" xfId="0" applyFont="1" applyBorder="1" applyAlignment="1">
      <alignment horizontal="center" vertical="top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tabSelected="1" topLeftCell="C1" workbookViewId="0">
      <selection sqref="A1:N10"/>
    </sheetView>
  </sheetViews>
  <sheetFormatPr defaultColWidth="9.28515625" defaultRowHeight="15"/>
  <cols>
    <col min="1" max="1" width="14.85546875" bestFit="1" customWidth="1"/>
    <col min="2" max="2" width="19.42578125" bestFit="1" customWidth="1"/>
    <col min="3" max="3" width="18.42578125" bestFit="1" customWidth="1"/>
    <col min="4" max="4" width="20.140625" bestFit="1" customWidth="1"/>
    <col min="5" max="5" width="20.5703125" bestFit="1" customWidth="1"/>
    <col min="6" max="6" width="13.85546875" bestFit="1" customWidth="1"/>
    <col min="7" max="7" width="20.85546875" bestFit="1" customWidth="1"/>
    <col min="8" max="8" width="10.7109375" bestFit="1" customWidth="1"/>
    <col min="9" max="9" width="15.5703125" bestFit="1" customWidth="1"/>
    <col min="10" max="10" width="12.7109375" bestFit="1" customWidth="1"/>
    <col min="11" max="11" width="10.28515625" bestFit="1" customWidth="1"/>
    <col min="12" max="12" width="10.85546875" bestFit="1" customWidth="1"/>
    <col min="13" max="13" width="8.85546875" bestFit="1" customWidth="1"/>
    <col min="14" max="14" width="10.85546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340566785278.23328</v>
      </c>
      <c r="B2">
        <v>268125310463.21899</v>
      </c>
      <c r="C2">
        <v>141375597.27412841</v>
      </c>
      <c r="D2">
        <v>10196048.12406609</v>
      </c>
      <c r="E2">
        <v>2779782</v>
      </c>
      <c r="F2">
        <v>608692095741.45227</v>
      </c>
      <c r="G2">
        <v>151571645.39819449</v>
      </c>
      <c r="H2">
        <v>413881</v>
      </c>
      <c r="I2">
        <v>492318</v>
      </c>
      <c r="J2">
        <v>530861</v>
      </c>
      <c r="K2" t="s">
        <v>14</v>
      </c>
      <c r="L2" t="s">
        <v>14</v>
      </c>
      <c r="M2">
        <v>0</v>
      </c>
      <c r="N2">
        <v>0.25</v>
      </c>
    </row>
    <row r="3" spans="1:14">
      <c r="A3">
        <v>306818718978.9903</v>
      </c>
      <c r="B3">
        <v>244757483903.798</v>
      </c>
      <c r="C3">
        <v>137010344.17941529</v>
      </c>
      <c r="D3">
        <v>9312173.9927389044</v>
      </c>
      <c r="E3">
        <v>2544945</v>
      </c>
      <c r="F3">
        <v>551576202882.78833</v>
      </c>
      <c r="G3">
        <v>146322518.17215419</v>
      </c>
      <c r="H3">
        <v>371067</v>
      </c>
      <c r="I3">
        <v>462934</v>
      </c>
      <c r="J3">
        <v>486342</v>
      </c>
      <c r="K3" t="s">
        <v>15</v>
      </c>
      <c r="L3" t="s">
        <v>16</v>
      </c>
      <c r="M3">
        <v>0</v>
      </c>
      <c r="N3">
        <v>0.25</v>
      </c>
    </row>
    <row r="4" spans="1:14">
      <c r="A4">
        <v>321584040922.45782</v>
      </c>
      <c r="B4">
        <v>256705678365.04721</v>
      </c>
      <c r="C4">
        <v>136784210.0330866</v>
      </c>
      <c r="D4">
        <v>9799130.6961755902</v>
      </c>
      <c r="E4">
        <v>2701735</v>
      </c>
      <c r="F4">
        <v>578289719287.50488</v>
      </c>
      <c r="G4">
        <v>146583340.7292622</v>
      </c>
      <c r="H4">
        <v>392588</v>
      </c>
      <c r="I4">
        <v>486620</v>
      </c>
      <c r="J4">
        <v>514432</v>
      </c>
      <c r="K4" t="s">
        <v>15</v>
      </c>
      <c r="L4" t="s">
        <v>17</v>
      </c>
      <c r="M4">
        <v>0</v>
      </c>
      <c r="N4">
        <v>0.25</v>
      </c>
    </row>
    <row r="5" spans="1:14">
      <c r="A5">
        <v>351492424877.76239</v>
      </c>
      <c r="B5">
        <v>276936332316.08521</v>
      </c>
      <c r="C5">
        <v>141219491.37286279</v>
      </c>
      <c r="D5">
        <v>10551499.40202724</v>
      </c>
      <c r="E5">
        <v>2894596</v>
      </c>
      <c r="F5">
        <v>628428757193.84766</v>
      </c>
      <c r="G5">
        <v>151770990.77489009</v>
      </c>
      <c r="H5">
        <v>428653</v>
      </c>
      <c r="I5">
        <v>511696</v>
      </c>
      <c r="J5">
        <v>552002</v>
      </c>
      <c r="K5" t="s">
        <v>14</v>
      </c>
      <c r="L5" t="s">
        <v>14</v>
      </c>
      <c r="M5">
        <v>0</v>
      </c>
      <c r="N5">
        <v>0.5</v>
      </c>
    </row>
    <row r="6" spans="1:14">
      <c r="A6">
        <v>310402130129.2218</v>
      </c>
      <c r="B6">
        <v>247735772340.67099</v>
      </c>
      <c r="C6">
        <v>136968559.55894521</v>
      </c>
      <c r="D6">
        <v>9430100.2223301455</v>
      </c>
      <c r="E6">
        <v>2582837</v>
      </c>
      <c r="F6">
        <v>558137902469.89282</v>
      </c>
      <c r="G6">
        <v>146398659.78127539</v>
      </c>
      <c r="H6">
        <v>375774</v>
      </c>
      <c r="I6">
        <v>467529</v>
      </c>
      <c r="J6">
        <v>494144</v>
      </c>
      <c r="K6" t="s">
        <v>15</v>
      </c>
      <c r="L6" t="s">
        <v>16</v>
      </c>
      <c r="M6">
        <v>0</v>
      </c>
      <c r="N6">
        <v>0.5</v>
      </c>
    </row>
    <row r="7" spans="1:14">
      <c r="A7">
        <v>339806251867.54852</v>
      </c>
      <c r="B7">
        <v>271245280090.3494</v>
      </c>
      <c r="C7">
        <v>136513710.71839049</v>
      </c>
      <c r="D7">
        <v>10394266.97009572</v>
      </c>
      <c r="E7">
        <v>2894042</v>
      </c>
      <c r="F7">
        <v>611051531957.89795</v>
      </c>
      <c r="G7">
        <v>146907977.68848619</v>
      </c>
      <c r="H7">
        <v>419517</v>
      </c>
      <c r="I7">
        <v>518612</v>
      </c>
      <c r="J7">
        <v>548732</v>
      </c>
      <c r="K7" t="s">
        <v>15</v>
      </c>
      <c r="L7" t="s">
        <v>17</v>
      </c>
      <c r="M7">
        <v>0</v>
      </c>
      <c r="N7">
        <v>0.5</v>
      </c>
    </row>
    <row r="8" spans="1:14">
      <c r="A8">
        <v>362342747194.33942</v>
      </c>
      <c r="B8">
        <v>285703712034.74579</v>
      </c>
      <c r="C8">
        <v>141049337.9619422</v>
      </c>
      <c r="D8">
        <v>10904369.06807779</v>
      </c>
      <c r="E8">
        <v>3007517</v>
      </c>
      <c r="F8">
        <v>648046459229.08521</v>
      </c>
      <c r="G8">
        <v>151953707.03002</v>
      </c>
      <c r="H8">
        <v>445619</v>
      </c>
      <c r="I8">
        <v>529205</v>
      </c>
      <c r="J8">
        <v>572832</v>
      </c>
      <c r="K8" t="s">
        <v>14</v>
      </c>
      <c r="L8" t="s">
        <v>14</v>
      </c>
      <c r="M8">
        <v>0</v>
      </c>
      <c r="N8">
        <v>0.75</v>
      </c>
    </row>
    <row r="9" spans="1:14">
      <c r="A9">
        <v>314108373312.05542</v>
      </c>
      <c r="B9">
        <v>250459390463.35501</v>
      </c>
      <c r="C9">
        <v>136915148.84277591</v>
      </c>
      <c r="D9">
        <v>9545927.8634552192</v>
      </c>
      <c r="E9">
        <v>2621631</v>
      </c>
      <c r="F9">
        <v>564567763775.4104</v>
      </c>
      <c r="G9">
        <v>146461076.70623109</v>
      </c>
      <c r="H9">
        <v>381673</v>
      </c>
      <c r="I9">
        <v>473726</v>
      </c>
      <c r="J9">
        <v>500503</v>
      </c>
      <c r="K9" t="s">
        <v>15</v>
      </c>
      <c r="L9" t="s">
        <v>16</v>
      </c>
      <c r="M9">
        <v>0</v>
      </c>
      <c r="N9">
        <v>0.75</v>
      </c>
    </row>
    <row r="10" spans="1:14">
      <c r="A10">
        <v>358208588975.26318</v>
      </c>
      <c r="B10">
        <v>285750385018.336</v>
      </c>
      <c r="C10">
        <v>136230776.09098059</v>
      </c>
      <c r="D10">
        <v>10981842.400994761</v>
      </c>
      <c r="E10">
        <v>3087083</v>
      </c>
      <c r="F10">
        <v>643958973993.59912</v>
      </c>
      <c r="G10">
        <v>147212618.49197531</v>
      </c>
      <c r="H10">
        <v>446937</v>
      </c>
      <c r="I10">
        <v>549989</v>
      </c>
      <c r="J10">
        <v>581390</v>
      </c>
      <c r="K10" t="s">
        <v>15</v>
      </c>
      <c r="L10" t="s">
        <v>17</v>
      </c>
      <c r="M10">
        <v>0</v>
      </c>
      <c r="N10">
        <v>0.75</v>
      </c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4" customFormat="1"/>
    <row r="35" customFormat="1"/>
    <row r="36" customFormat="1"/>
    <row r="37" customFormat="1"/>
    <row r="38" customFormat="1"/>
    <row r="39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4" customFormat="1"/>
    <row r="75" customFormat="1"/>
    <row r="76" customFormat="1"/>
    <row r="77" customFormat="1"/>
    <row r="78" customFormat="1"/>
    <row r="79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5" customFormat="1"/>
    <row r="116" customFormat="1"/>
    <row r="117" customFormat="1"/>
    <row r="118" customFormat="1"/>
    <row r="119" customFormat="1"/>
    <row r="120" customForma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4"/>
  <sheetViews>
    <sheetView zoomScale="70" zoomScaleNormal="70" workbookViewId="0">
      <selection activeCell="J20" sqref="J20"/>
    </sheetView>
  </sheetViews>
  <sheetFormatPr defaultRowHeight="15"/>
  <cols>
    <col min="1" max="1" width="12.85546875" bestFit="1" customWidth="1"/>
    <col min="2" max="2" width="11.5703125" bestFit="1" customWidth="1"/>
    <col min="3" max="3" width="12.42578125" bestFit="1" customWidth="1"/>
    <col min="4" max="4" width="23.85546875" bestFit="1" customWidth="1"/>
    <col min="5" max="5" width="4.42578125" bestFit="1" customWidth="1"/>
    <col min="6" max="6" width="23.85546875" bestFit="1" customWidth="1"/>
    <col min="7" max="7" width="4.42578125" bestFit="1" customWidth="1"/>
    <col min="8" max="8" width="18.140625" bestFit="1" customWidth="1"/>
    <col min="9" max="9" width="4.42578125" bestFit="1" customWidth="1"/>
    <col min="10" max="10" width="16.85546875" bestFit="1" customWidth="1"/>
    <col min="11" max="11" width="4.42578125" bestFit="1" customWidth="1"/>
    <col min="12" max="12" width="12.42578125" bestFit="1" customWidth="1"/>
    <col min="13" max="13" width="4.42578125" bestFit="1" customWidth="1"/>
    <col min="14" max="14" width="23.85546875" bestFit="1" customWidth="1"/>
    <col min="15" max="15" width="4.42578125" bestFit="1" customWidth="1"/>
    <col min="16" max="16" width="18.140625" bestFit="1" customWidth="1"/>
    <col min="17" max="17" width="4.42578125" bestFit="1" customWidth="1"/>
    <col min="18" max="18" width="10.5703125" bestFit="1" customWidth="1"/>
    <col min="19" max="19" width="4.42578125" bestFit="1" customWidth="1"/>
    <col min="20" max="20" width="10.5703125" bestFit="1" customWidth="1"/>
    <col min="21" max="21" width="4.42578125" bestFit="1" customWidth="1"/>
    <col min="22" max="22" width="10.5703125" bestFit="1" customWidth="1"/>
    <col min="23" max="23" width="4.42578125" bestFit="1" customWidth="1"/>
  </cols>
  <sheetData>
    <row r="1" spans="1:23">
      <c r="C1" s="1"/>
      <c r="D1" s="6" t="s">
        <v>0</v>
      </c>
      <c r="E1" s="6"/>
      <c r="F1" s="6" t="s">
        <v>1</v>
      </c>
      <c r="G1" s="6"/>
      <c r="H1" s="6" t="s">
        <v>2</v>
      </c>
      <c r="I1" s="6"/>
      <c r="J1" s="6" t="s">
        <v>3</v>
      </c>
      <c r="K1" s="6"/>
      <c r="L1" s="6" t="s">
        <v>4</v>
      </c>
      <c r="M1" s="6"/>
      <c r="N1" s="6" t="s">
        <v>5</v>
      </c>
      <c r="O1" s="6"/>
      <c r="P1" s="6" t="s">
        <v>6</v>
      </c>
      <c r="Q1" s="6"/>
      <c r="R1" s="6" t="s">
        <v>7</v>
      </c>
      <c r="S1" s="6"/>
      <c r="T1" s="6" t="s">
        <v>8</v>
      </c>
      <c r="U1" s="6"/>
      <c r="V1" s="6" t="s">
        <v>9</v>
      </c>
      <c r="W1" s="6"/>
    </row>
    <row r="2" spans="1:23">
      <c r="C2" s="1"/>
      <c r="D2" s="1" t="s">
        <v>18</v>
      </c>
      <c r="E2" s="1" t="s">
        <v>19</v>
      </c>
      <c r="F2" s="1" t="s">
        <v>18</v>
      </c>
      <c r="G2" s="1" t="s">
        <v>19</v>
      </c>
      <c r="H2" s="1" t="s">
        <v>18</v>
      </c>
      <c r="I2" s="1" t="s">
        <v>19</v>
      </c>
      <c r="J2" s="1" t="s">
        <v>18</v>
      </c>
      <c r="K2" s="1" t="s">
        <v>19</v>
      </c>
      <c r="L2" s="1" t="s">
        <v>18</v>
      </c>
      <c r="M2" s="1" t="s">
        <v>19</v>
      </c>
      <c r="N2" s="1" t="s">
        <v>18</v>
      </c>
      <c r="O2" s="1" t="s">
        <v>19</v>
      </c>
      <c r="P2" s="1" t="s">
        <v>18</v>
      </c>
      <c r="Q2" s="1" t="s">
        <v>19</v>
      </c>
      <c r="R2" s="1" t="s">
        <v>18</v>
      </c>
      <c r="S2" s="1" t="s">
        <v>19</v>
      </c>
      <c r="T2" s="1" t="s">
        <v>18</v>
      </c>
      <c r="U2" s="1" t="s">
        <v>19</v>
      </c>
      <c r="V2" s="1" t="s">
        <v>18</v>
      </c>
      <c r="W2" s="1" t="s">
        <v>19</v>
      </c>
    </row>
    <row r="3" spans="1:23">
      <c r="A3" s="1" t="s">
        <v>13</v>
      </c>
      <c r="B3" s="1" t="s">
        <v>10</v>
      </c>
      <c r="C3" s="1" t="s">
        <v>11</v>
      </c>
    </row>
    <row r="4" spans="1:23">
      <c r="A4" s="6">
        <v>0.25</v>
      </c>
      <c r="B4" s="1" t="s">
        <v>14</v>
      </c>
      <c r="C4" s="1" t="s">
        <v>14</v>
      </c>
      <c r="D4" s="2">
        <v>340566785278.23328</v>
      </c>
      <c r="F4" s="2">
        <v>268125310463.21899</v>
      </c>
      <c r="H4" s="3">
        <v>141375597.27412841</v>
      </c>
      <c r="J4" s="3">
        <v>10196048.12406609</v>
      </c>
      <c r="L4" s="4">
        <v>2779782</v>
      </c>
      <c r="N4" s="2">
        <v>608692095741.45227</v>
      </c>
      <c r="P4" s="3">
        <v>151571645.39819449</v>
      </c>
      <c r="R4" s="4">
        <v>413881</v>
      </c>
      <c r="S4" s="4"/>
      <c r="T4" s="4">
        <v>492318</v>
      </c>
      <c r="U4" s="4"/>
      <c r="V4" s="4">
        <v>530861</v>
      </c>
    </row>
    <row r="5" spans="1:23">
      <c r="A5" s="6"/>
      <c r="B5" s="6" t="s">
        <v>15</v>
      </c>
      <c r="C5" s="1" t="s">
        <v>17</v>
      </c>
      <c r="D5" s="2">
        <v>321584040922.45782</v>
      </c>
      <c r="F5" s="2">
        <v>256705678365.04721</v>
      </c>
      <c r="H5" s="3">
        <v>136784210.0330866</v>
      </c>
      <c r="J5" s="3">
        <v>9799130.6961755902</v>
      </c>
      <c r="L5" s="4">
        <v>2701735</v>
      </c>
      <c r="N5" s="2">
        <v>578289719287.50488</v>
      </c>
      <c r="P5" s="3">
        <v>146583340.7292622</v>
      </c>
      <c r="R5" s="4">
        <v>392588</v>
      </c>
      <c r="S5" s="4"/>
      <c r="T5" s="4">
        <v>486620</v>
      </c>
      <c r="U5" s="4"/>
      <c r="V5" s="4">
        <v>514432</v>
      </c>
    </row>
    <row r="6" spans="1:23">
      <c r="A6" s="6"/>
      <c r="B6" s="6"/>
      <c r="C6" s="1" t="s">
        <v>16</v>
      </c>
      <c r="D6" s="2">
        <v>306818718978.9903</v>
      </c>
      <c r="F6" s="2">
        <v>244757483903.798</v>
      </c>
      <c r="H6" s="3">
        <v>137010344.17941529</v>
      </c>
      <c r="J6" s="3">
        <v>9312173.9927389044</v>
      </c>
      <c r="L6" s="4">
        <v>2544945</v>
      </c>
      <c r="N6" s="2">
        <v>551576202882.78833</v>
      </c>
      <c r="P6" s="3">
        <v>146322518.17215419</v>
      </c>
      <c r="R6" s="4">
        <v>371067</v>
      </c>
      <c r="S6" s="4"/>
      <c r="T6" s="4">
        <v>462934</v>
      </c>
      <c r="U6" s="4"/>
      <c r="V6" s="4">
        <v>486342</v>
      </c>
    </row>
    <row r="7" spans="1:23">
      <c r="A7" s="6">
        <v>0.5</v>
      </c>
      <c r="B7" s="1" t="s">
        <v>14</v>
      </c>
      <c r="C7" s="1" t="s">
        <v>14</v>
      </c>
      <c r="D7" s="2">
        <v>351492424877.76239</v>
      </c>
      <c r="F7" s="2">
        <v>276936332316.08521</v>
      </c>
      <c r="H7" s="3">
        <v>141219491.37286279</v>
      </c>
      <c r="J7" s="3">
        <v>10551499.40202724</v>
      </c>
      <c r="L7" s="4">
        <v>2894596</v>
      </c>
      <c r="N7" s="2">
        <v>628428757193.84766</v>
      </c>
      <c r="P7" s="3">
        <v>151770990.77489009</v>
      </c>
      <c r="R7" s="4">
        <v>428653</v>
      </c>
      <c r="S7" s="4"/>
      <c r="T7" s="4">
        <v>511696</v>
      </c>
      <c r="U7" s="4"/>
      <c r="V7" s="4">
        <v>552002</v>
      </c>
    </row>
    <row r="8" spans="1:23">
      <c r="A8" s="6"/>
      <c r="B8" s="6" t="s">
        <v>15</v>
      </c>
      <c r="C8" s="1" t="s">
        <v>17</v>
      </c>
      <c r="D8" s="2">
        <v>339806251867.54852</v>
      </c>
      <c r="F8" s="2">
        <v>271245280090.3494</v>
      </c>
      <c r="H8" s="3">
        <v>136513710.71839049</v>
      </c>
      <c r="J8" s="3">
        <v>10394266.97009572</v>
      </c>
      <c r="L8" s="4">
        <v>2894042</v>
      </c>
      <c r="N8" s="2">
        <v>611051531957.89795</v>
      </c>
      <c r="P8" s="3">
        <v>146907977.68848619</v>
      </c>
      <c r="R8" s="4">
        <v>419517</v>
      </c>
      <c r="S8" s="4"/>
      <c r="T8" s="4">
        <v>518612</v>
      </c>
      <c r="U8" s="4"/>
      <c r="V8" s="4">
        <v>548732</v>
      </c>
    </row>
    <row r="9" spans="1:23">
      <c r="A9" s="6"/>
      <c r="B9" s="6"/>
      <c r="C9" s="1" t="s">
        <v>16</v>
      </c>
      <c r="D9" s="2">
        <v>310402130129.2218</v>
      </c>
      <c r="F9" s="2">
        <v>247735772340.67099</v>
      </c>
      <c r="H9" s="3">
        <v>136968559.55894521</v>
      </c>
      <c r="J9" s="3">
        <v>9430100.2223301455</v>
      </c>
      <c r="L9" s="4">
        <v>2582837</v>
      </c>
      <c r="N9" s="2">
        <v>558137902469.89282</v>
      </c>
      <c r="P9" s="3">
        <v>146398659.78127539</v>
      </c>
      <c r="R9" s="4">
        <v>375774</v>
      </c>
      <c r="S9" s="4"/>
      <c r="T9" s="4">
        <v>467529</v>
      </c>
      <c r="U9" s="4"/>
      <c r="V9" s="4">
        <v>494144</v>
      </c>
    </row>
    <row r="10" spans="1:23">
      <c r="A10" s="6">
        <v>0.75</v>
      </c>
      <c r="B10" s="1" t="s">
        <v>14</v>
      </c>
      <c r="C10" s="1" t="s">
        <v>14</v>
      </c>
      <c r="D10" s="2">
        <v>362342747194.33942</v>
      </c>
      <c r="F10" s="2">
        <v>285703712034.74579</v>
      </c>
      <c r="H10" s="3">
        <v>141049337.9619422</v>
      </c>
      <c r="J10" s="3">
        <v>10904369.06807779</v>
      </c>
      <c r="L10" s="4">
        <v>3007517</v>
      </c>
      <c r="N10" s="2">
        <v>648046459229.08521</v>
      </c>
      <c r="P10" s="3">
        <v>151953707.03002</v>
      </c>
      <c r="R10" s="4">
        <v>445619</v>
      </c>
      <c r="S10" s="4"/>
      <c r="T10" s="4">
        <v>529205</v>
      </c>
      <c r="U10" s="4"/>
      <c r="V10" s="4">
        <v>572832</v>
      </c>
    </row>
    <row r="11" spans="1:23">
      <c r="A11" s="6"/>
      <c r="B11" s="6" t="s">
        <v>15</v>
      </c>
      <c r="C11" s="1" t="s">
        <v>17</v>
      </c>
      <c r="D11" s="2">
        <v>358208588975.26318</v>
      </c>
      <c r="F11" s="2">
        <v>285750385018.336</v>
      </c>
      <c r="H11" s="3">
        <v>136230776.09098059</v>
      </c>
      <c r="J11" s="3">
        <v>10981842.400994761</v>
      </c>
      <c r="L11" s="4">
        <v>3087083</v>
      </c>
      <c r="N11" s="2">
        <v>643958973993.59912</v>
      </c>
      <c r="P11" s="3">
        <v>147212618.49197531</v>
      </c>
      <c r="R11" s="4">
        <v>446937</v>
      </c>
      <c r="S11" s="4"/>
      <c r="T11" s="4">
        <v>549989</v>
      </c>
      <c r="U11" s="4"/>
      <c r="V11" s="4">
        <v>581390</v>
      </c>
    </row>
    <row r="12" spans="1:23">
      <c r="A12" s="6"/>
      <c r="B12" s="6"/>
      <c r="C12" s="1" t="s">
        <v>16</v>
      </c>
      <c r="D12" s="2">
        <v>314108373312.05542</v>
      </c>
      <c r="F12" s="2">
        <v>250459390463.35501</v>
      </c>
      <c r="H12" s="3">
        <v>136915148.84277591</v>
      </c>
      <c r="J12" s="3">
        <v>9545927.8634552192</v>
      </c>
      <c r="L12" s="4">
        <v>2621631</v>
      </c>
      <c r="N12" s="2">
        <v>564567763775.4104</v>
      </c>
      <c r="P12" s="3">
        <v>146461076.70623109</v>
      </c>
      <c r="R12" s="4">
        <v>381673</v>
      </c>
      <c r="S12" s="4"/>
      <c r="T12" s="4">
        <v>473726</v>
      </c>
      <c r="U12" s="4"/>
      <c r="V12" s="4">
        <v>500503</v>
      </c>
    </row>
    <row r="16" spans="1:23">
      <c r="B16" s="1" t="s">
        <v>14</v>
      </c>
      <c r="C16" s="1" t="s">
        <v>20</v>
      </c>
    </row>
    <row r="17" spans="2:23">
      <c r="B17" s="6" t="s">
        <v>15</v>
      </c>
      <c r="C17" s="1" t="s">
        <v>17</v>
      </c>
      <c r="D17" s="5">
        <f>(D5-$D$4)/$D$4</f>
        <v>-5.5738683795212428E-2</v>
      </c>
      <c r="E17" s="5"/>
      <c r="F17" s="5">
        <f>(F5-$F$4)/$F$4</f>
        <v>-4.259065314812311E-2</v>
      </c>
      <c r="G17" s="5"/>
      <c r="H17" s="5">
        <f>(H5-$H$4)/$H$4</f>
        <v>-3.2476518788027278E-2</v>
      </c>
      <c r="I17" s="5"/>
      <c r="J17" s="5">
        <f>(J5-$J$4)/$J$4</f>
        <v>-3.8928555756189684E-2</v>
      </c>
      <c r="K17" s="5"/>
      <c r="L17" s="5">
        <f>(L5-$L$4)/$L$4</f>
        <v>-2.8076662126742313E-2</v>
      </c>
      <c r="M17" s="5"/>
      <c r="N17" s="5">
        <f>(N5-$N$4)/$N$4</f>
        <v>-4.9947053143369689E-2</v>
      </c>
      <c r="O17" s="5"/>
      <c r="P17" s="5"/>
      <c r="Q17" s="5"/>
      <c r="R17" s="5"/>
      <c r="S17" s="5"/>
      <c r="T17" s="5"/>
      <c r="U17" s="5"/>
      <c r="V17" s="5"/>
      <c r="W17" s="5"/>
    </row>
    <row r="18" spans="2:23">
      <c r="B18" s="6"/>
      <c r="C18" s="1" t="s">
        <v>16</v>
      </c>
      <c r="D18" s="5">
        <f>(D6-$D$4)/$D$4</f>
        <v>-9.9093827578258339E-2</v>
      </c>
      <c r="E18" s="5"/>
      <c r="F18" s="5">
        <f>(F6-$F$4)/$F$4</f>
        <v>-8.7152632174300276E-2</v>
      </c>
      <c r="G18" s="5"/>
      <c r="H18" s="5">
        <f>(H6-$H$4)/$H$4</f>
        <v>-3.0876991354093882E-2</v>
      </c>
      <c r="I18" s="5"/>
      <c r="J18" s="5">
        <f>(J6-$J$4)/$J$4</f>
        <v>-8.6687912863116709E-2</v>
      </c>
      <c r="K18" s="5"/>
      <c r="L18" s="5">
        <f>(L6-$L$4)/$L$4</f>
        <v>-8.4480365726520998E-2</v>
      </c>
      <c r="M18" s="5"/>
      <c r="N18" s="5">
        <f>(N6-$N$4)/$N$4</f>
        <v>-9.3833800797249803E-2</v>
      </c>
      <c r="O18" s="5"/>
      <c r="P18" s="5"/>
      <c r="Q18" s="5"/>
      <c r="R18" s="5"/>
      <c r="S18" s="5"/>
      <c r="T18" s="5"/>
      <c r="U18" s="5"/>
      <c r="V18" s="5"/>
      <c r="W18" s="5"/>
    </row>
    <row r="19" spans="2:23">
      <c r="B19" s="1" t="s">
        <v>14</v>
      </c>
      <c r="C19" s="1" t="s">
        <v>20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2:23">
      <c r="B20" s="6" t="s">
        <v>15</v>
      </c>
      <c r="C20" s="1" t="s">
        <v>17</v>
      </c>
      <c r="D20" s="5">
        <f>(D8-$D$7)/$D$7</f>
        <v>-3.3247296906264587E-2</v>
      </c>
      <c r="E20" s="5"/>
      <c r="F20" s="5">
        <f>(F8-$F$7)/$F$7</f>
        <v>-2.0550038263813814E-2</v>
      </c>
      <c r="G20" s="5"/>
      <c r="H20" s="5">
        <f>(H8-$H$7)/$H$7</f>
        <v>-3.332245859778369E-2</v>
      </c>
      <c r="I20" s="5"/>
      <c r="J20" s="5">
        <f>(J8-$J$7)/$J$7</f>
        <v>-1.4901430208232879E-2</v>
      </c>
      <c r="K20" s="5"/>
      <c r="L20" s="5">
        <f>(L8-$L$7)/$L$7</f>
        <v>-1.9139113023026357E-4</v>
      </c>
      <c r="M20" s="5"/>
      <c r="N20" s="5">
        <f>(N8-$N$7)/$N$7</f>
        <v>-2.7651861944614126E-2</v>
      </c>
      <c r="O20" s="5"/>
      <c r="P20" s="5"/>
      <c r="Q20" s="5"/>
      <c r="R20" s="5"/>
      <c r="S20" s="5"/>
      <c r="T20" s="5"/>
      <c r="U20" s="5"/>
      <c r="V20" s="5"/>
      <c r="W20" s="5"/>
    </row>
    <row r="21" spans="2:23">
      <c r="B21" s="6"/>
      <c r="C21" s="1" t="s">
        <v>16</v>
      </c>
      <c r="D21" s="5">
        <f>(D9-$D$7)/$D$7</f>
        <v>-0.11690236215710895</v>
      </c>
      <c r="E21" s="5"/>
      <c r="F21" s="5">
        <f>(F9-$F$7)/$F$7</f>
        <v>-0.10544141944541152</v>
      </c>
      <c r="G21" s="5"/>
      <c r="H21" s="5">
        <f>(H9-$H$7)/$H$7</f>
        <v>-3.0101594139677314E-2</v>
      </c>
      <c r="I21" s="5"/>
      <c r="J21" s="5">
        <f>(J9-$J$7)/$J$7</f>
        <v>-0.10627865642314704</v>
      </c>
      <c r="K21" s="5"/>
      <c r="L21" s="5">
        <f>(L9-$L$7)/$L$7</f>
        <v>-0.1077038039159869</v>
      </c>
      <c r="M21" s="5"/>
      <c r="N21" s="5">
        <f>(N9-$N$7)/$N$7</f>
        <v>-0.11185174758365272</v>
      </c>
      <c r="O21" s="5"/>
      <c r="P21" s="5"/>
      <c r="Q21" s="5"/>
      <c r="R21" s="5"/>
      <c r="S21" s="5"/>
      <c r="T21" s="5"/>
      <c r="U21" s="5"/>
      <c r="V21" s="5"/>
      <c r="W21" s="5"/>
    </row>
    <row r="22" spans="2:23">
      <c r="B22" s="1" t="s">
        <v>14</v>
      </c>
      <c r="C22" s="1" t="s">
        <v>20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2:23">
      <c r="B23" s="6" t="s">
        <v>15</v>
      </c>
      <c r="C23" s="1" t="s">
        <v>17</v>
      </c>
      <c r="D23" s="5">
        <f>(D11-$D$10)/$D$10</f>
        <v>-1.1409523858522033E-2</v>
      </c>
      <c r="E23" s="5"/>
      <c r="F23" s="5">
        <f>(F11-$F$10)/$F$10</f>
        <v>1.6336148822782476E-4</v>
      </c>
      <c r="G23" s="5"/>
      <c r="H23" s="5">
        <f>(H11-$H$10)/$H$10</f>
        <v>-3.4162243797711031E-2</v>
      </c>
      <c r="I23" s="5"/>
      <c r="J23" s="5">
        <f>(J11-$J$10)/$J$10</f>
        <v>7.1047973920629788E-3</v>
      </c>
      <c r="K23" s="5"/>
      <c r="L23" s="5">
        <f>(L11-$L$10)/$L$10</f>
        <v>2.6455710807287206E-2</v>
      </c>
      <c r="M23" s="5"/>
      <c r="N23" s="5">
        <f>(N11-$N$10)/$N$10</f>
        <v>-6.3073953684563734E-3</v>
      </c>
      <c r="O23" s="5"/>
      <c r="P23" s="5"/>
      <c r="Q23" s="5"/>
      <c r="R23" s="5"/>
      <c r="S23" s="5"/>
      <c r="T23" s="5"/>
      <c r="U23" s="5"/>
      <c r="V23" s="5"/>
      <c r="W23" s="5"/>
    </row>
    <row r="24" spans="2:23">
      <c r="B24" s="6"/>
      <c r="C24" s="1" t="s">
        <v>16</v>
      </c>
      <c r="D24" s="5">
        <f>(D12-$D$10)/$D$10</f>
        <v>-0.13311808848326115</v>
      </c>
      <c r="E24" s="5"/>
      <c r="F24" s="5">
        <f>(F12-$F$10)/$F$10</f>
        <v>-0.12335969078030232</v>
      </c>
      <c r="G24" s="5"/>
      <c r="H24" s="5">
        <f>(H12-$H$10)/$H$10</f>
        <v>-2.9310234127307766E-2</v>
      </c>
      <c r="I24" s="5"/>
      <c r="J24" s="5">
        <f>(J12-$J$10)/$J$10</f>
        <v>-0.12457769873172818</v>
      </c>
      <c r="K24" s="5"/>
      <c r="L24" s="5">
        <f>(L12-$L$10)/$L$10</f>
        <v>-0.12830717166353506</v>
      </c>
      <c r="M24" s="5"/>
      <c r="N24" s="5">
        <f>(N12-$N$10)/$N$10</f>
        <v>-0.12881591167550069</v>
      </c>
      <c r="O24" s="5"/>
      <c r="P24" s="5"/>
      <c r="Q24" s="5"/>
      <c r="R24" s="5"/>
      <c r="S24" s="5"/>
      <c r="T24" s="5"/>
      <c r="U24" s="5"/>
      <c r="V24" s="5"/>
      <c r="W24" s="5"/>
    </row>
  </sheetData>
  <mergeCells count="19">
    <mergeCell ref="V1:W1"/>
    <mergeCell ref="T1:U1"/>
    <mergeCell ref="H1:I1"/>
    <mergeCell ref="R1:S1"/>
    <mergeCell ref="P1:Q1"/>
    <mergeCell ref="B8:B9"/>
    <mergeCell ref="B11:B12"/>
    <mergeCell ref="F1:G1"/>
    <mergeCell ref="B5:B6"/>
    <mergeCell ref="N1:O1"/>
    <mergeCell ref="D1:E1"/>
    <mergeCell ref="B17:B18"/>
    <mergeCell ref="B20:B21"/>
    <mergeCell ref="B23:B24"/>
    <mergeCell ref="A10:A12"/>
    <mergeCell ref="L1:M1"/>
    <mergeCell ref="J1:K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2026-02-16T13:18:38Z</dcterms:created>
  <dcterms:modified xsi:type="dcterms:W3CDTF">2026-02-16T14:29:45Z</dcterms:modified>
</cp:coreProperties>
</file>