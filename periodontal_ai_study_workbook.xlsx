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smiledesignsdental-my.sharepoint.com/personal/edward_coote_21d_co_uk/Documents/Documents/Papers/AI_transition_probs/"/>
    </mc:Choice>
  </mc:AlternateContent>
  <xr:revisionPtr revIDLastSave="0" documentId="8_{31B845C0-382F-48C5-8BA8-12F088185111}" xr6:coauthVersionLast="47" xr6:coauthVersionMax="47" xr10:uidLastSave="{00000000-0000-0000-0000-000000000000}"/>
  <bookViews>
    <workbookView xWindow="-110" yWindow="-110" windowWidth="19420" windowHeight="10300" tabRatio="678" xr2:uid="{00000000-000D-0000-FFFF-FFFF00000000}"/>
  </bookViews>
  <sheets>
    <sheet name="Literature Parameters" sheetId="1" r:id="rId1"/>
    <sheet name="Parameter Extraction Log" sheetId="2" r:id="rId2"/>
    <sheet name="Markov States" sheetId="3" r:id="rId3"/>
    <sheet name="24 Stratified Matrices" sheetId="4" r:id="rId4"/>
    <sheet name="Economic Outputs" sheetId="5" r:id="rId5"/>
    <sheet name="AI Model Tracking" sheetId="6" r:id="rId6"/>
    <sheet name="References" sheetId="7" r:id="rId7"/>
  </sheets>
  <definedNames>
    <definedName name="_xlnm._FilterDatabase" localSheetId="1" hidden="1">'Parameter Extraction Log'!$A$1:$A$134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40" i="4" l="1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3" i="4"/>
  <c r="K12" i="4"/>
  <c r="K11" i="4"/>
  <c r="K10" i="4"/>
  <c r="K9" i="4"/>
  <c r="K8" i="4"/>
  <c r="K7" i="4"/>
  <c r="K6" i="4"/>
  <c r="K5" i="4"/>
  <c r="J24" i="1"/>
  <c r="I24" i="1"/>
  <c r="J23" i="1"/>
  <c r="I23" i="1"/>
  <c r="J22" i="1"/>
  <c r="I22" i="1"/>
  <c r="J21" i="1"/>
  <c r="I21" i="1"/>
  <c r="J20" i="1"/>
  <c r="I20" i="1"/>
  <c r="J19" i="1"/>
  <c r="I19" i="1"/>
  <c r="J18" i="1"/>
  <c r="I18" i="1"/>
  <c r="J17" i="1"/>
  <c r="I17" i="1"/>
  <c r="J16" i="1"/>
  <c r="I16" i="1"/>
  <c r="J15" i="1"/>
  <c r="I15" i="1"/>
  <c r="J14" i="1"/>
  <c r="I14" i="1"/>
  <c r="J13" i="1"/>
  <c r="I13" i="1"/>
  <c r="J12" i="1"/>
  <c r="I12" i="1"/>
  <c r="J11" i="1"/>
  <c r="I11" i="1"/>
  <c r="J10" i="1"/>
  <c r="I10" i="1"/>
  <c r="J9" i="1"/>
  <c r="I9" i="1"/>
  <c r="J8" i="1"/>
  <c r="I8" i="1"/>
  <c r="J7" i="1"/>
  <c r="I7" i="1"/>
  <c r="J5" i="1"/>
  <c r="I5" i="1"/>
  <c r="K23" i="2"/>
  <c r="K22" i="2"/>
  <c r="K15" i="2"/>
  <c r="K13" i="2"/>
  <c r="K12" i="2"/>
  <c r="K10" i="2"/>
  <c r="K8" i="2"/>
</calcChain>
</file>

<file path=xl/sharedStrings.xml><?xml version="1.0" encoding="utf-8"?>
<sst xmlns="http://schemas.openxmlformats.org/spreadsheetml/2006/main" count="1996" uniqueCount="943">
  <si>
    <t>Literature Parameters &amp; Distribution Registry</t>
  </si>
  <si>
    <t>Full distribution info for PSA Monte Carlo sampling | Version 0.1 | Feb 2026</t>
  </si>
  <si>
    <t>⚠  I² = 99% across Needleman 2018 SR subgroups — population-average params mask individual variability. Beta for utilities/proportions; LogNormal for intensities/HRs; Gamma for costs/counts.</t>
  </si>
  <si>
    <t>ID</t>
  </si>
  <si>
    <t>Parameter</t>
  </si>
  <si>
    <t>Role</t>
  </si>
  <si>
    <t>Point Estimate</t>
  </si>
  <si>
    <t>95% CI Lower</t>
  </si>
  <si>
    <t>95% CI Upper</t>
  </si>
  <si>
    <t>Unit</t>
  </si>
  <si>
    <t>Distribution</t>
  </si>
  <si>
    <t>α  or  μ</t>
  </si>
  <si>
    <t>β  or  σ</t>
  </si>
  <si>
    <t>Source</t>
  </si>
  <si>
    <t>Dataset</t>
  </si>
  <si>
    <t>Ref</t>
  </si>
  <si>
    <t>Status</t>
  </si>
  <si>
    <t>Notes</t>
  </si>
  <si>
    <t>TP-01</t>
  </si>
  <si>
    <t>Annual mean CAL loss — pooled</t>
  </si>
  <si>
    <t>Prior/PSA</t>
  </si>
  <si>
    <t>mm/yr</t>
  </si>
  <si>
    <t>Normal</t>
  </si>
  <si>
    <t>Pooled (I²=99%)</t>
  </si>
  <si>
    <t>[2]</t>
  </si>
  <si>
    <t>Complete — Values Entered</t>
  </si>
  <si>
    <t>Prior for Bayesian PSA. Source: Needleman 2018 [2], Table 3. CI 0.068–0.132. I²=99% — extreme heterogeneity. Geographic subgroups (Sheet 2 S3 row 36): N.America/Europe 0.056mm (CI 0.025–0.087) vs Sri Lanka/China 0.20mm (CI 0.15–0.27), p&lt;0.001 — ONLY significant modifier. Age effect NOT significant (p=0.093). SHIP 5yr data: 0.02 mm/yr (Sheet 2 S12 row 113). Teles 2018 active subjects: 0.35 mm/yr (Sheet 2 S4 row 43), but this is in actively progressing subset only — NOT population average. Reddy 2000 (Sheet 2 S15 row 133): progressing sites lose 1mm per 8.4mo = 1.43mm/yr, but only 22.8% of sites are progressing. Model base case should use N.America/Europe estimate (0.056mm) rather than global pooled (0.10mm).</t>
  </si>
  <si>
    <t>TP-02</t>
  </si>
  <si>
    <t>Annual tooth loss — pooled</t>
  </si>
  <si>
    <t>teeth/yr</t>
  </si>
  <si>
    <t>Gamma</t>
  </si>
  <si>
    <t>Pooled</t>
  </si>
  <si>
    <t>Source: Needleman 2018 [2]. CI CORRECTED per Sheet 2 S3 row 31: Table 5 formal meta-analysis gives 0.13–0.26 (I²=91%). Abstract stated 0.10–0.33 (I²=94%) — different dataset combination. USE Table 5 values as primary. SHIP severity-stratified: severe PD 0.38 (CI 0.34–0.42) vs moderate 0.17 (CI 0.15–0.19). Axelsson SPT benchmark: 0.018 teeth/yr. Teles 2018: untreated 12mo rate 0.08/yr (Discussion, not treated population).</t>
  </si>
  <si>
    <t>TP-03</t>
  </si>
  <si>
    <t>q₁₂  Health → Gingivitis intensity</t>
  </si>
  <si>
    <t>Base case</t>
  </si>
  <si>
    <t>yr⁻¹</t>
  </si>
  <si>
    <t>LogNormal</t>
  </si>
  <si>
    <t>Goodson/MA (n=162)</t>
  </si>
  <si>
    <t>[3]</t>
  </si>
  <si>
    <t>PATIENT-LEVEL intensity. Mdala 2014 [3] reports SITE-LEVEL p₁₂=0.12 [0.11–0.13] (CAL+BOP, Table 2; same value in PD+BOP, Table 3 — Sheet 2 S1 rows 8/13). Site-to-patient conversion: base value 0.045 derived by calibrating site-level rates against population prevalence. CI approximated as ±30% reflecting conversion uncertainty. Mdala covariate effects (Sheet 2 S1 rows 11–12): smoking HR 2.11 [1.19–3.76] on fast progression (q₁₃); age HR 0.98/yr (decreasing q₁₂ — possible frailty/selection). NOTE: Teles 2016/2018 studies (which use same NCT01489839 cohort) excluded tobacco users and use LMM not msm framework — cannot validate q₁₂ directly.</t>
  </si>
  <si>
    <t>TP-04</t>
  </si>
  <si>
    <t>q₂₃  Gingivitis → Stage II intensity</t>
  </si>
  <si>
    <t>Assumption Documented</t>
  </si>
  <si>
    <t>ASSUMPTION VERIFIED by Schätzle 2003 full text (Sheet 2 S11 row 106). Mdala 3-state combined p(gingivitis→CP)=0.07 (CAL+BOP) / 0.03 (PD+BOP). Patient-level combined ≈0.040. Split 55:45 (q₂₃:q₃₄) empirically supported: Schätzle 2003 GI=2 interproximal pocket formation 54% vs GI=0 20% (ratio 2.7×), confirming q₂₃ is the dominant transition. ORs: GI=2 vs GI=0=3.22 (CI 3.03–3.42); GI=1 vs GI=0=2.29 (CI 2.21–2.39). Annualised LoA: GI=0 0.04mm/yr, GI=1 0.05mm/yr, GI=2 0.07mm/yr. Age threshold at 40yr for pocket formation onset (Sheet 2 S11 row 107): PD≥4mm at 55–59: GI=2 28.81% vs GI=0 2.08%. Converted split ratio K=0.706 in Sheet 2. SENSITIVITY: vary split 40:60 to 70:30.</t>
  </si>
  <si>
    <t>TP-05</t>
  </si>
  <si>
    <t>q₃₄  Stage II → Stage III/IV intensity</t>
  </si>
  <si>
    <t>Highest EVPPI priority. Derived from Mdala split (45% of combined patient-level intensity). Schätzle 2003 evidence (Sheet 2 S11): annualised LoA GI=0 0.04mm/yr, GI=2 0.07mm/yr (75% excess). Pocket formation ≥4mm at 55–59: GI=2 28.81% vs GI=0 2.08% (14× differential). Schätzle 2009 (Sheet 2 S10): age-dependent progression rates with Markov model — base α increases from exp(−6.21)=0.002 to exp(−4.59)=0.010 across surveys. Pocket formation accelerates after age 40. NOTE: Teles 2018 0.35 mm/yr (Sheet 2 S4 row 43) is CAL loss RATE in active subjects, NOT a transition intensity — Table 6 delta observed CAL = 0.33 ± 0.40 for active group (range −0.66 to 1.2). Cannot be used as q₃₄.</t>
  </si>
  <si>
    <t>TP-06</t>
  </si>
  <si>
    <t>q₄₅  Stage III/IV → Edentulism intensity</t>
  </si>
  <si>
    <t>Sri Lanka 40-yr</t>
  </si>
  <si>
    <t>[5]</t>
  </si>
  <si>
    <t>Untreated natural history. Ramseier 2017 [5] (Sheet 2 S2 row 23): 12/75 edentulous at 40yr → strict edentulism q = −ln(1−0.16)/40 = 0.0044 yr⁻¹ (CI 0.0022–0.0076). Value 0.031 represents FUNCTIONAL tooth loss rate (mean 13.1 teeth/40yr = 0.33 teeth/yr, calibrated to per-patient state transition intensity). Discrepancy: strict edentulism (0.0044) vs functional tooth loss (0.031) — base case uses functional rate as more relevant for economic model. Axelsson 2004 (Sheet 2 S14 row 128) treated benchmark: 0.4–0.7 teeth/30yr ≈ 0.013–0.023 teeth/yr — treatment reduces tooth loss ~15–25×. SHIP (Sheet 2 S12 row 115): PD quintile stability over 10yr supports Markov stationarity assumption.</t>
  </si>
  <si>
    <t>TP-07</t>
  </si>
  <si>
    <t>HR_NSPT — NSPT treatment effect on forward progression (q₂₃, q₃₄)</t>
  </si>
  <si>
    <t>Treatment effect</t>
  </si>
  <si>
    <t>HR</t>
  </si>
  <si>
    <t>Mailoa 2015 + Teles 2016</t>
  </si>
  <si>
    <t>Meta-analysis + LMM</t>
  </si>
  <si>
    <t>[14]</t>
  </si>
  <si>
    <t>Complete — Restructured</t>
  </si>
  <si>
    <t>HR 0.58 DERIVATION DOCUMENTED (Sheet 2 S13 rows 120–121): Uses 42% overall 1mm reversal from Teles 2016 Table 2. If 42% of threshold-defined progressing sites reverse, net forward rate reduced by ~42% → HR ≈ 0.58. IMPORTANT: For LMM-classified progressing sites (Table 4), reversal only 10.6% (1mm) — much lower, confirming LMM identifies genuine progression. CI [0.38–0.78] from Teles threshold sensitivity. Mailoa 2015 (Sheet 2 S8 row 75) corroborates: SRP 8.4% CAL gain in 4–6mm (study-level range 2.8%–22.6%, NOT CI). Meta-analysis favours SRP over MWF: WMD −0.29mm (CI −0.36 to −0.22, I²=0%). Teles 2018 (Sheet 2 S4): 6.0% of sites classified as regressing by LMM; unchanged subjects improved (ΔCAL −0.18mm). NOTE: Teles 2016/2018 excluded smokers.</t>
  </si>
  <si>
    <t>TP-08</t>
  </si>
  <si>
    <t>HR_surgical — Surgical treatment effect on q₃₄ and q₄₅</t>
  </si>
  <si>
    <t>Treatment response lit.</t>
  </si>
  <si>
    <t>Various RCTs</t>
  </si>
  <si>
    <t>—</t>
  </si>
  <si>
    <t>HR 0.45 retained. Sheet 2 S8 corrections: (1) OS 9.38% CAL gain ≥7mm from single study (Becker 2001) only. (2) "1.3%–47.0%" was SRP ≥7mm study range, NOT OS CI — previously misattributed. (3) Meta-analysis: WMD CAL OS vs SRP = 0.00 (CI −0.85 to 0.86) — NO CAL advantage for surgery. (4) Surgical advantage is PD reduction: WMD 0.83mm (p=0.03), PD gain 42.8% OS vs 21.6% SRP. (5) CI [0.20–0.75] is plausible assumption, NOT directly from Mailoa data. TP-08 REPURPOSED: no longer q₄₃ reversal (removed per EFP/AAP 2018 — irreversible complexity factors); now HR_surgical reducing q₄₅ progression to edentulism via pocket elimination mechanism.</t>
  </si>
  <si>
    <t>TP-09</t>
  </si>
  <si>
    <t>Smoking HR — dual effect on progression and treatment response</t>
  </si>
  <si>
    <t>Covariate</t>
  </si>
  <si>
    <t>Ramseier 2017 + Mdala 2014 + Schätzle 2009</t>
  </si>
  <si>
    <t>Multiple cohorts</t>
  </si>
  <si>
    <t>[5][3]</t>
  </si>
  <si>
    <t>SOURCE CORRECTION (Sheet 2 S3 row 33): Value 1.64 is NOT from Needleman 2018 — that SR reports no pooled smoking HR. Actual sources: Mdala 2014 [3] HR 2.11 [1.19–3.76] on fast progression (q₁₃); Ramseier 2017 [5] RR 1.63 [1.14–2.34] on early progression; Schätzle 2009 exp(0.85)=2.34× on progression (p&lt;0.01). Value 1.64 ≈ geometric mean of Ramseier RR and conservative estimate. DUAL MECHANISM (Sheet 2 S9/S10): (1) Increases progression: HR ~1.64–2.34 on forward transitions; (2) Inhibits regression: Faddy 2000 HR 0.284 on healing (smokers heal at 28% of non-smoker rate, CI 0.068–1.185). Schätzle 2003 (Sheet 2 S11 row 108): smoking effect DECREASES as inflammation increases — HR strongest for q₁₂/q₂₃, diminishes for q₃₄/q₄₅ (GI=2 OR=1.01 NS). Teles 2016/2018 EXCLUDED tobacco users — cannot provide smoking data. Implementation: 1.64× on base intensities; smoking×treatment interaction HR_NSPT(smoker) = 0.58 × 1.15.</t>
  </si>
  <si>
    <t>TP-10</t>
  </si>
  <si>
    <t>Diabetes OR on progression</t>
  </si>
  <si>
    <t>OR</t>
  </si>
  <si>
    <t>MIMIC-IV (to derive)</t>
  </si>
  <si>
    <t>MIMIC-IV</t>
  </si>
  <si>
    <t>Complete — Preshaw Retained</t>
  </si>
  <si>
    <t>Preshaw 2012 [13] Lancet estimate RETAINED as definitive source (OR 2.10 [1.70–2.58]). MIMIC-IV K05.x prevalence (0.06%, n=207) was insufficient for planned logistic regression replacement. Directional validation from MIMIC-IV: diabetes prevalence 31.9% in K05 patients vs 7.5% in non-dental population, consistent with OR ~2.10 after accounting for ICU selection bias. Supplementary source: Borgnakke et al. 2013 (J Clin Periodontol, doi:10.1111/jcpe.12078) systematic review.</t>
  </si>
  <si>
    <t>TP-11</t>
  </si>
  <si>
    <t>Age effect on q₃₄ (per 10 yr)</t>
  </si>
  <si>
    <t>Faddy 2000 + Schätzle 2009</t>
  </si>
  <si>
    <t>Australian + Norwegian cohorts</t>
  </si>
  <si>
    <t>[S9][S10]</t>
  </si>
  <si>
    <t>Complete — Source Re-attributed</t>
  </si>
  <si>
    <t>SOURCE RE-ATTRIBUTED per Sheet 2 findings. Needleman 2018 age subgroup (Sheet 2 S3 row 34): &lt;30yr 0.12mm, 30–50yr 0.074mm, &gt;50yr 0.13mm — p=0.093 NOT significant, I²=99%. The 1.22× and 1.49× multipliers CANNOT be attributed to Needleman. MECHANISTIC BASIS: Age affects REGRESSION not progression. Faddy 2000 (Sheet 2 S9 row 93): per-year HR 0.965 on regression → per-decade HR 0.705 (age 40 base, female non-smoker). Schätzle 2003 (Sheet 2 S11 row 107): pocket formation negligible before age 40, accelerates significantly after — supports age-dependent q₃₄ with inflection at 40yr. Schätzle 2009 (Sheet 2 S10 row 99): age NOT significant on progression (p&gt;0.2) in well-maintained population. Current value 1.22 retained as plausible net effect (reduced regression + age-threshold progression). SENSITIVITY: test removal of age effect per Needleman non-significance.</t>
  </si>
  <si>
    <t>TP-12</t>
  </si>
  <si>
    <t>CAL OR for tooth loss prediction</t>
  </si>
  <si>
    <t>Validation</t>
  </si>
  <si>
    <t>Ramseier 2017</t>
  </si>
  <si>
    <t>Complete — Reclassified &amp; Verified</t>
  </si>
  <si>
    <t>RECLASSIFIED: Not a direct model input — used for external validation only. CAL OR 1.94 [1.76–2.13] for tooth loss prediction (Ramseier 2017 [5]) describes a continuous dose-response between attachment loss and tooth loss that does not map to a single discrete state transition. Validation use: compare model-predicted tooth loss rates against Ramseier logistic regression predictions across the CAL distribution. If model predictions fall within the OR-implied range, external validity is supported. Sensitivity/specificity: CAL &lt;1.81mm at age 30 → 0.71 for ≥20 teeth at age 60.</t>
  </si>
  <si>
    <t>TP-13</t>
  </si>
  <si>
    <t>EQ-5D utility — Periodontal Health (S1)</t>
  </si>
  <si>
    <t>Utility</t>
  </si>
  <si>
    <t>utility</t>
  </si>
  <si>
    <t>Beta</t>
  </si>
  <si>
    <t>Published HRQoL</t>
  </si>
  <si>
    <t>OHIP-14 mapped</t>
  </si>
  <si>
    <t>Interim — GBD-based</t>
  </si>
  <si>
    <t>INTERIM VALUE. No periodontitis-specific EQ-5D study identified. Using 1 − GBD DW approach. Health state assumed near-perfect oral health utility. General population EQ-5D baseline ~0.85–0.87 but periodontal-specific disutility is marginal. Requires dedicated search for OHIP-14 → EQ-5D mapping studies. | STRUCTURAL LIMITATION: GBD disability weights produce very small utility differences between periodontal states (Δ utility S1→S4 ≈ 0.013). Over a 10-year horizon, maximum QALY gain from preventing all progression ≈ 0.13 QALYs/patient. EQ-5D does not capture the psychosocial, nutritional, and functional impacts that are clinically meaningful in periodontitis. CONSEQUENCE: ICER-based CEA is SECONDARY analysis. PRIMARY output is cost-consequence analysis (see restructured Economic Outputs sheet).</t>
  </si>
  <si>
    <t>TP-14</t>
  </si>
  <si>
    <t>EQ-5D utility — Gingivitis/Stage I (S2)</t>
  </si>
  <si>
    <t>INTERIM VALUE. GBD 2021 periodontitis DW = 0.007 [0.003–0.014]. Definition: "bad breath, bad taste, gums bleed a little, does not interfere with daily activities." Utility = 1 − DW. Very small disutility reflects mild disease. | STRUCTURAL LIMITATION: GBD disability weights produce very small utility differences between periodontal states (Δ utility S1→S4 ≈ 0.013). Over a 10-year horizon, maximum QALY gain from preventing all progression ≈ 0.13 QALYs/patient. EQ-5D does not capture the psychosocial, nutritional, and functional impacts that are clinically meaningful in periodontitis. CONSEQUENCE: ICER-based CEA is SECONDARY analysis. PRIMARY output is cost-consequence analysis (see restructured Economic Outputs sheet).</t>
  </si>
  <si>
    <t>TP-15</t>
  </si>
  <si>
    <t>EQ-5D utility — Stage II Periodontitis (S3)</t>
  </si>
  <si>
    <t>Interim — Interpolated</t>
  </si>
  <si>
    <t>INTERIM VALUE. No direct GBD state for Stage II. Interpolated between gingivitis DW (0.007) and severe periodontitis (assumed DW ~0.010–0.015 for moderate disease). Conservative assumption: small incremental disutility over gingivitis. | STRUCTURAL LIMITATION: GBD disability weights produce very small utility differences between periodontal states (Δ utility S1→S4 ≈ 0.013). Over a 10-year horizon, maximum QALY gain from preventing all progression ≈ 0.13 QALYs/patient. EQ-5D does not capture the psychosocial, nutritional, and functional impacts that are clinically meaningful in periodontitis. CONSEQUENCE: ICER-based CEA is SECONDARY analysis. PRIMARY output is cost-consequence analysis (see restructured Economic Outputs sheet).</t>
  </si>
  <si>
    <t>TP-16</t>
  </si>
  <si>
    <t>EQ-5D utility — Stage III/IV Periodontitis (S4)</t>
  </si>
  <si>
    <t>INTERIM VALUE. Stage III/IV periodontitis with tooth mobility, potential tooth loss, chewing difficulty. Interpolated between GBD periodontitis DW (0.007) and edentulism DW (0.067). Assumed DW ~0.020 for severe periodontitis with functional impairment. | STRUCTURAL LIMITATION: GBD disability weights produce very small utility differences between periodontal states (Δ utility S1→S4 ≈ 0.013). Over a 10-year horizon, maximum QALY gain from preventing all progression ≈ 0.13 QALYs/patient. EQ-5D does not capture the psychosocial, nutritional, and functional impacts that are clinically meaningful in periodontitis. CONSEQUENCE: ICER-based CEA is SECONDARY analysis. PRIMARY output is cost-consequence analysis (see restructured Economic Outputs sheet).</t>
  </si>
  <si>
    <t>TP-17</t>
  </si>
  <si>
    <t>EQ-5D utility — Edentulism (S5)</t>
  </si>
  <si>
    <t>INTERIM VALUE. GBD 2021 edentulism DW = 0.067 [0.045–0.095]. Definition: "great difficulty eating meats, fruits, vegetables." Utility = 1 − DW = 0.933 [0.905–0.955]. Source: Nascimento et al. 2024, J Periodontal Res, doi:10.1111/jre.13337. Note: may underestimate disutility vs EQ-5D which captures psychosocial dimensions. | STRUCTURAL LIMITATION: GBD disability weights produce very small utility differences between periodontal states (Δ utility S1→S4 ≈ 0.013). Over a 10-year horizon, maximum QALY gain from preventing all progression ≈ 0.13 QALYs/patient. EQ-5D does not capture the psychosocial, nutritional, and functional impacts that are clinically meaningful in periodontitis. CONSEQUENCE: ICER-based CEA is SECONDARY analysis. PRIMARY output is cost-consequence analysis (see restructured Economic Outputs sheet).</t>
  </si>
  <si>
    <t>TP-18</t>
  </si>
  <si>
    <t>UK NHS NSPT cost (Banding 2)</t>
  </si>
  <si>
    <t>Cost</t>
  </si>
  <si>
    <t>£</t>
  </si>
  <si>
    <t>NHS dental charges 2024</t>
  </si>
  <si>
    <t>NHS</t>
  </si>
  <si>
    <t>NHS England Band 2 charge from 1 April 2025: £75.30. Covers NSPT equivalent (scaling, root planing, extractions). Band 1 (£27.40) for initial assessment not included separately — subsumed into treatment course. Band 3 (£326.70) for dentures used for edentulism cost. Source: NHS dental charges schedule 2025/26. CI represents year-to-year charge variation.</t>
  </si>
  <si>
    <t>TP-19</t>
  </si>
  <si>
    <t>US NSPT cost (CDT D4341/D4342)</t>
  </si>
  <si>
    <t>$</t>
  </si>
  <si>
    <t>ADA/Medicare fee schedule</t>
  </si>
  <si>
    <t>ADA/Medicare</t>
  </si>
  <si>
    <t>Interim — Awaiting CMS</t>
  </si>
  <si>
    <t>INTERIM VALUE. CDT D4341 (4+ teeth/quadrant) and D4342 (1–3 teeth/quadrant). Full-mouth NSPT ≈ 4 quadrants × $150–250. National average estimate $800. CI reflects geographic and payer variation. Awaiting CMS Medicare fee schedule extraction for exact national average rate. Private market rates substantially higher.</t>
  </si>
  <si>
    <t>TP-20</t>
  </si>
  <si>
    <t>UK edentulism (dentures) annual cost</t>
  </si>
  <si>
    <t>NHS banding 3 + lab fees</t>
  </si>
  <si>
    <t>Interim — Estimated</t>
  </si>
  <si>
    <t>INTERIM VALUE. Base: NHS Band 3 = £326.70 for dentures. Annual cost includes Band 1 reviews (£27.40/yr), denture relining (~£50–100 every 5yr amortised), adjustments. Total ≈ £400/yr. CI lower = Band 3 alone, CI upper = with private top-up/implant-retained options. Source: NHS dental charges 2025/26 + clinical pathway assumptions.</t>
  </si>
  <si>
    <t>TP-21</t>
  </si>
  <si>
    <t>UK NHS surgical periodontal therapy cost (Band 3)</t>
  </si>
  <si>
    <t>NHS dental charges 2025</t>
  </si>
  <si>
    <t>NHS England Band 3 charge from 1 April 2025: £319.10 (increased to £326.70 from April 2025). Covers surgical periodontal therapy including flap surgery, osseous surgery, guided tissue regeneration. US equivalent: $3,000–5,000 per course (specialist fees, varies by procedure and region). Surgical arm also incurs NSPT cost (Band 2, £75.30) and higher-frequency SPT (3-monthly = 4×£27.40 = £109.60/yr vs 2×£27.40 = £54.80/yr for NSPT arm).</t>
  </si>
  <si>
    <t>TP-22</t>
  </si>
  <si>
    <t>US surgical periodontal therapy cost</t>
  </si>
  <si>
    <t>ADA/specialist fee schedules</t>
  </si>
  <si>
    <t>ADA</t>
  </si>
  <si>
    <t>US specialist surgical periodontal therapy fees. CDT D4240 (gingival flap), D4260 (osseous surgery), D4263 (bone replacement graft). Full-mouth surgical typically $3,000–5,000 depending on procedure complexity and region. Wide CI reflects geographic and payer variation.</t>
  </si>
  <si>
    <t>Parameter Extraction Log</t>
  </si>
  <si>
    <t>Record exactly where each value was found | One row per parameter per source | Update Status column as extraction progresses</t>
  </si>
  <si>
    <t>HOW TO USE:  For each parameter row — (1) open the source paper, (2) find the value in the table/figure listed, (3) record the exact reported value and CI, (4) apply conversion formula if needed (e.g. cumulative probability → annual intensity), (5) enter converted value into Sheet 1 (Literature Parameters) columns D, E, F, (6) update Status to Complete.</t>
  </si>
  <si>
    <t>S1  |  TIER 1</t>
  </si>
  <si>
    <t>Mdala I, Olsen I, Haffajee AD et al . (2014)  —  Comparing clinical attachment level and pocket depth for predicting periodontal disease progression using multi-state Markov models</t>
  </si>
  <si>
    <t>Journal of Clinical Periodontology</t>
  </si>
  <si>
    <t>📋  EXTRACTION NOTES:  Look in Table 2 or Table 3 for msm transition intensity estimates (qrs notation). Values reported as intensities (yr⁻¹) with 95% CIs. Also extract covariate coefficients for age, sex, smoking, nationality.</t>
  </si>
  <si>
    <t>TP ID</t>
  </si>
  <si>
    <t>Reported Value</t>
  </si>
  <si>
    <t>Reported CI / SE</t>
  </si>
  <si>
    <t>CI Type
(95%? SE?)</t>
  </si>
  <si>
    <t>Table / Figure
Reference</t>
  </si>
  <si>
    <t>Exact Quote
from Paper / Model Used</t>
  </si>
  <si>
    <t>Conversion
Needed?</t>
  </si>
  <si>
    <t>Conversion
Formula</t>
  </si>
  <si>
    <t>Converted
Value</t>
  </si>
  <si>
    <t>Converted
95% CI Lower</t>
  </si>
  <si>
    <t>Converted
95% CI Upper</t>
  </si>
  <si>
    <t>q₁₂ Health → Gingivitis intensity</t>
  </si>
  <si>
    <t>0.11-0.13</t>
  </si>
  <si>
    <t>CI</t>
  </si>
  <si>
    <t>Table 2 (CAL+BOP model) — predicted transition probabilities</t>
  </si>
  <si>
    <t>CAL+BOP classification: 3-state model (health, gingivitis, chronic periodontitis). p₁₂ = 0.12 [0.11–0.13] at 6 months.</t>
  </si>
  <si>
    <t>Yes</t>
  </si>
  <si>
    <t xml:space="preserve">q = −ln(1 − p) </t>
  </si>
  <si>
    <t>Extracted — Awaiting Verification</t>
  </si>
  <si>
    <t>This is the annual transition PROBABILITY not intensity. Convert via q = −ln(1−p). Maps to protocol S1→S2. Bootstrapped CIs.</t>
  </si>
  <si>
    <t>Conversion Reference — Formulae for Parameter Transformation</t>
  </si>
  <si>
    <t>q₂₃ Gingivitis → Stage II intensity</t>
  </si>
  <si>
    <t>NOT DIRECTLY REPORTED</t>
  </si>
  <si>
    <t>-</t>
  </si>
  <si>
    <t>Mdala uses 3-state model: State 3 = "chronic periodontitis" which spans both Stage II and Stage III/IV in protocol. No separate q₂₃ vs q₃₄.</t>
  </si>
  <si>
    <t>N/A</t>
  </si>
  <si>
    <t>Gap — Requires Assumption</t>
  </si>
  <si>
    <t>CRITICAL GAP: Mdala State 2→3 transition combines what the protocol separates as q₂₃ and q₃₄. Must split using Schätzle 2003 GI severity gradient or treat as sensitivity analysis parameter.</t>
  </si>
  <si>
    <t>Conversion Type</t>
  </si>
  <si>
    <t>When Needed</t>
  </si>
  <si>
    <t>Formula</t>
  </si>
  <si>
    <t>Example</t>
  </si>
  <si>
    <t>q₃₄ Stage II → Stage III/IV intensity</t>
  </si>
  <si>
    <t>0.04-0.10</t>
  </si>
  <si>
    <t>Table 2 (CAL+BOP model) — this is actually the combined q₂₃+q₃₄ pathway (State 2→3)</t>
  </si>
  <si>
    <t>CAL+BOP: p₂₃ = 0.07 [0.04–0.10] at 6 months. This represents gingivitis→chronic periodontitis, not Stage II→III/IV specifically.</t>
  </si>
  <si>
    <t>Extracted — Mapping Ambiguity</t>
  </si>
  <si>
    <t>WARNING: This is Mdala State 2→3 (gingivitis→CP), which in the 5-state protocol maps to the COMBINED q₂₃+q₃₄ pathway. Cannot be used as q₃₄ alone without splitting assumption.</t>
  </si>
  <si>
    <t>Cumulative probability → Annual intensity</t>
  </si>
  <si>
    <t>Ramseier 2017 reports cumulative tooth loss over 40 years</t>
  </si>
  <si>
    <t>q = −ln(1 − p) / t     where p = cumulative probability, t = years</t>
  </si>
  <si>
    <t>40-yr tooth loss prob = 0.70  →  q = −ln(0.30)/40 = 0.030 yr⁻¹</t>
  </si>
  <si>
    <t>Smoking HR on progression</t>
  </si>
  <si>
    <t>1.19-3.76</t>
  </si>
  <si>
    <t>Table 4 — Hazard ratios from multivariate analysis</t>
  </si>
  <si>
    <t>CAL+BOP model: Disease severity (sites with CAL&gt;4mm) and smoking associated with fast progression (health→CP directly). Smoking HR on q₁₃ (fast progression). Age decreased q₁₂ (HR 0.98/yr, frailty effect).</t>
  </si>
  <si>
    <t>No</t>
  </si>
  <si>
    <t>Extracted from Table 4 Values</t>
  </si>
  <si>
    <t>Annual probability → Annual intensity</t>
  </si>
  <si>
    <t>Some papers report annual transition probabilities rather than intensities</t>
  </si>
  <si>
    <t>q = −ln(1 − p)          where p = annual probability</t>
  </si>
  <si>
    <t>Annual prob = 0.04  →  q = −ln(0.96) = 0.041 yr⁻¹</t>
  </si>
  <si>
    <t>HR/yr</t>
  </si>
  <si>
    <t>0.98 per year (decreasing progression)</t>
  </si>
  <si>
    <t>Table 4 — Age covariate coefficient</t>
  </si>
  <si>
    <t>With age, progression from health to gingivitis DECREASED — possible frailty/selection effect in patients with chronic periodontitis.</t>
  </si>
  <si>
    <t>Per-year HR → per-decade: HR₁₀ = HR¹⁰</t>
  </si>
  <si>
    <t>COUNTERINTUITIVE: Age reduces progression in this population (frailty selection). Opposite direction to Needleman subgroup analysis. Both findings valid but reflect different mechanisms.</t>
  </si>
  <si>
    <t>Standard error → 95% CI</t>
  </si>
  <si>
    <t>msm R package output reports SE rather than 95% CI</t>
  </si>
  <si>
    <t>Lower = estimate − 1.96 × SE;   Upper = estimate + 1.96 × SE</t>
  </si>
  <si>
    <t>Intensity = 0.045, SE = 0.009  →  CI: 0.027 to 0.063</t>
  </si>
  <si>
    <t>Table 3 (PD+BOP model) — predicted transition probabilities</t>
  </si>
  <si>
    <t>PD+BOP classification: p₁₂ = 0.12 [0.11–0.13]. Same value as CAL+BOP for this transition.</t>
  </si>
  <si>
    <t>PD+BOP model gives same q₁₂ as CAL+BOP. Divergence appears in later transitions.</t>
  </si>
  <si>
    <t>OR to HR approximation</t>
  </si>
  <si>
    <t>When paper reports OR but model needs HR (acceptable if event rate &lt; 10%)</t>
  </si>
  <si>
    <t>HR ≈ OR   (acceptable approximation for rare events)</t>
  </si>
  <si>
    <t>OR = 1.64  →  HR ≈ 1.64</t>
  </si>
  <si>
    <t>Same gap as CAL+BOP model — no separate gingivitis→Stage II transition in 3-state framework.</t>
  </si>
  <si>
    <t>LogNormal distribution parameters from CI</t>
  </si>
  <si>
    <t>After extracting point estimate and 95% CI for any rate/ratio</t>
  </si>
  <si>
    <t>σ = (ln(upper) − ln(lower)) / 3.92;   μ = ln(estimate) − σ²/2</t>
  </si>
  <si>
    <t>Estimate=0.045, CI 0.031–0.065  →  σ=0.19, μ=−3.12</t>
  </si>
  <si>
    <t>0.01-0.05</t>
  </si>
  <si>
    <t>Table 3 (PD+BOP model) — this is the combined q₂₃+q₃₄ pathway</t>
  </si>
  <si>
    <t>PD+BOP: p₂₃ = 0.03 [0.01–0.05]. Note substantially lower than CAL+BOP (0.07) — measurement protocol effect.</t>
  </si>
  <si>
    <t>PD+BOP gives LOWER transition probability than CAL+BOP (0.03 vs 0.07). Protocol should specify which classification is used as base case vs sensitivity analysis.</t>
  </si>
  <si>
    <t>Beta distribution parameters from CI</t>
  </si>
  <si>
    <t>After extracting utility or proportion with 95% CI</t>
  </si>
  <si>
    <t>var=((upper−lower)/3.92)²;  α=mean²(1−mean)/var−mean;  β=α(1/mean−1)</t>
  </si>
  <si>
    <t>Utility=0.89, CI 0.84–0.93  →  α=164, β=20</t>
  </si>
  <si>
    <t>1.66-7.37</t>
  </si>
  <si>
    <t>Table 4 (PD+BOP model)</t>
  </si>
  <si>
    <t>Smoking associated with fast progression (q₁₃). Gingival redness also significant in PD+BOP model only.</t>
  </si>
  <si>
    <t>PD+BOP model additionally shows gingival redness as predictor — not available in CAL+BOP model.</t>
  </si>
  <si>
    <t>Gamma distribution parameters from CI</t>
  </si>
  <si>
    <t>var=((upper−lower)/3.92)²;  α=mean²/var;  β=mean/var</t>
  </si>
  <si>
    <t>0.98 per year</t>
  </si>
  <si>
    <t>Same direction as CAL+BOP: age decreases progression rate.</t>
  </si>
  <si>
    <t>S2  |  TIER 1</t>
  </si>
  <si>
    <t>Ramseier CA, Anerud A, Dulac M et al.  (2017)  —  Natural history of periodontitis: Disease progression and tooth loss over 40 years</t>
  </si>
  <si>
    <t>📋  EXTRACTION NOTES:  Table 2 reports cumulative tooth loss over 40 years by subgroup. Back-calculate annual intensity using q = −ln(1−p)/t. Logistic regression parameters for CAL as predictor of tooth loss are reported separately — extract OR and 95% CI.</t>
  </si>
  <si>
    <t>Exact Quote
from Paper</t>
  </si>
  <si>
    <t>Back-calculated from attachment loss trajectories</t>
  </si>
  <si>
    <t>Untreated population: 40-year natural history. Mean attachment loss progressively increasing. Rate varies by risk group.</t>
  </si>
  <si>
    <t>Extracted — Placeholder</t>
  </si>
  <si>
    <t>Untreated population — this q₃₄ placeholder (0.005) may underestimate. Cross-check with Markov chain analysis results in the paper.</t>
  </si>
  <si>
    <t>q₄₅ Stage III/IV → Edentulism (back-calculated from cumulative tooth loss)</t>
  </si>
  <si>
    <t>12 edentulous out of 75 subjects</t>
  </si>
  <si>
    <t>12 of 75 re-examined subjects were edentulous at 40yr follow-up. 4 subjects had no tooth loss. Mean tooth loss 13.1 teeth (range 0–28).</t>
  </si>
  <si>
    <t>q₄₅ = −ln(1−0.16)/40 = 0.00436 yr⁻¹. CI bounds from binomial CI on 12/75 proportion. Note: edentulism ≠ complete tooth loss in all cases; verify definition used.</t>
  </si>
  <si>
    <t>RR</t>
  </si>
  <si>
    <t>1.14-2.34</t>
  </si>
  <si>
    <t>Markov chain analysis — Results section</t>
  </si>
  <si>
    <t>Markov chain analysis: smoking and calculus associated with disease initiation. RR 1.63 [1.14–2.34] for smoking on early progression.</t>
  </si>
  <si>
    <t>This is for early progression only, smaller value for Stage II to Stage III/IV</t>
  </si>
  <si>
    <t>1.76-2.13</t>
  </si>
  <si>
    <t>Logistic regression — Results section</t>
  </si>
  <si>
    <t>Logistic regression: attachment loss as statistically significant predictor of tooth loss (p&lt;0.004). OR 1.94 [1.76–2.13].</t>
  </si>
  <si>
    <t>Mean AL &lt;1.81mm at age 30 → highest sensitivity/specificity (0.71) for allocating subjects into ≥20 teeth at age 60.</t>
  </si>
  <si>
    <t>S3  |  TIER 1</t>
  </si>
  <si>
    <t>Needleman I, Garcia R, Gkranias N et al.  (2018)  —  Mean annual attachment, bone level, and tooth loss: A systematic review</t>
  </si>
  <si>
    <t>Journal of Periodontology</t>
  </si>
  <si>
    <t>📋  EXTRACTION NOTES:  Abstract and Table 2 give pooled mean annual CAL loss (0.10 mm/yr) and tooth loss (0.20 teeth/yr) with 95% CIs — these are directly quoted. Subgroup analysis tables give smoking HR and geographic/age subgroup effects. The I²=99% figure is in the heterogeneity section — note the exact value.</t>
  </si>
  <si>
    <t>Mean annual CAL loss — pooled</t>
  </si>
  <si>
    <t>0.10 mm/yr</t>
  </si>
  <si>
    <t>0.068–0.132</t>
  </si>
  <si>
    <t>95% CI</t>
  </si>
  <si>
    <t>Table 3 / Figure 2 — random effects meta-analysis, 13 data sets</t>
  </si>
  <si>
    <t>Mean annual attachment loss 0.10mm (95% CI 0.068, 0.132). I²=99%. 9 studies, 13 data sets, &gt;8600 participants. Interproximal sites only: 0.093mm (CI 0.022, 0.16). Periodontitis only: 0.57mm (CI −0.38, 1.51).</t>
  </si>
  <si>
    <t>Complete — Full-Text Verified</t>
  </si>
  <si>
    <t>CI CONFIRMED from Table 3: 0.068–0.132. Abstract rounds to 0.07–0.13. I²=99% — extreme heterogeneity. Geographic subgroups: N.America/Europe 0.056mm (CI 0.025–0.087) vs Sri Lanka/China 0.20mm (CI 0.15–0.27), p&lt;0.001. Highest quintile: 0.45mm/yr (general pop), 0.91mm/yr (periodontitis only). 16 original studies, 33 publications.</t>
  </si>
  <si>
    <t>0.20 teeth/yr</t>
  </si>
  <si>
    <t>0.13–0.26</t>
  </si>
  <si>
    <t>Table 5 / Figure 9 — random effects meta-analysis, 10 data sets</t>
  </si>
  <si>
    <t>Mean annual tooth loss 0.20 (95% CI 0.13, 0.26, I²=91%). 10 data sets. Abstract reports CI as 0.10–0.33 which appears to be from a slightly different pooling. Table 5 estimate (0.13–0.26) is the formal meta-analysis result.</t>
  </si>
  <si>
    <t>CI DISCREPANCY RESOLVED: Table 5 meta-analysis gives 0.13–0.26 (I²=91%). Abstract states 0.10–0.33 (I²=94%) — likely includes different dataset combination or rounding. USE Table 5 values (0.13–0.26) as primary. Geographic: N.America/Europe/Japan/Oceania 0.21 (CI 0.10–0.33) vs S.America/Asia 0.19 (CI 0.11–0.28), p=0.80 (no difference). SHIP severity-stratified: severe PD 0.38 (CI 0.34–0.42) vs moderate 0.17 (CI 0.15–0.19).</t>
  </si>
  <si>
    <t>Not a primary source for this parameter</t>
  </si>
  <si>
    <t>Table 2/3 — q12 row</t>
  </si>
  <si>
    <t>Needleman is a SR of attachment/tooth loss rates, not a multi-state model. Does not report state-to-state transition intensities.</t>
  </si>
  <si>
    <t>N/A — Not Reported</t>
  </si>
  <si>
    <t>Needleman SR does not contain transition intensities. These come from Mdala 2014 (S1). Rows 32–35 should be marked as not applicable for this source.</t>
  </si>
  <si>
    <t>No pooled smoking HR reported</t>
  </si>
  <si>
    <t>Table 1 (SHIP data) — single-study subgroup, not meta-analysed</t>
  </si>
  <si>
    <t>Needleman SR did not meta-analyse smoking as a subgroup. SHIP 5yr data (Gätke 2012): current smokers 0.23mm/yr vs never 0.06mm/yr (p&lt;0.01). Crude ratio ~3.8× but NOT adjusted for covariates. Sri Lanka secondary analysis (Neely 2001): smoking NOT significant after adjusting for age, calculus, GI.</t>
  </si>
  <si>
    <t>Complete — NOT a Source for Smoking HR</t>
  </si>
  <si>
    <t>CRITICAL CORRECTION: The smoking HR 1.64 currently in Sheet 4 CANNOT be sourced from Needleman 2018. This SR does not report a pooled smoking effect. The SHIP crude ratio (3.8×) is unadjusted and not comparable. The Neely 2001 Sri Lanka analysis found smoking NOT significant after adjustment. Source for 1.64 must be traced elsewhere — likely from Mdala 2014 (HR 2.11) or Ramseier 2017 (RR 1.63) or a weighted average. UPDATE Sheet 1 source attribution.</t>
  </si>
  <si>
    <t>Age subgroup meta-analysis: &lt;30yr 0.12mm; 30-50yr 0.074mm; &gt;50yr 0.13mm. p=0.093 (NOT significant)</t>
  </si>
  <si>
    <t>&lt;30: 0.068–0.16; 30-50: 0.052–0.096; &gt;50: 0.072–0.19</t>
  </si>
  <si>
    <t>Table 3 / Figure 7 — subgroup meta-analysis by age</t>
  </si>
  <si>
    <t>Age subgroup analysis (Table 3): &lt;30yr 0.12mm (CI 0.068–0.16, I²=99%, 8 datasets); 30–50yr 0.074mm (CI 0.052–0.096, I²=96%, 5 datasets); &gt;50yr 0.13mm (CI 0.072–0.19, I²=99%, 4 datasets). Difference between age groups p=0.093. Authors state: "surprisingly little effect of age or gender on attachment level change."</t>
  </si>
  <si>
    <t>Complete — Age Effect NOT Significant</t>
  </si>
  <si>
    <t>CRITICAL FINDING: Age effect on CAL loss is NOT statistically significant (p=0.093) in this SR. The 1.22× (45–64) and 1.49× (65+) multipliers in Sheet 4 CANNOT be sourced from Needleman. The &gt;50yr subgroup actually shows HIGHER loss (0.13mm) than 30–50yr (0.074mm) — ratio 1.76× — but this is non-significant with massive heterogeneity (I²=99%) and overlapping CIs. For UK/US comparison: geographic location is the ONLY significant modifier (p&lt;0.001): N.America/Europe 0.056mm vs Sri Lanka/China 0.20mm. Age multipliers need alternative sourcing — consider Faddy 2000 age effect on regression (per-decade HR 0.705) or Schätzle 2009 (per-decade HR 0.111 on regression) as the mechanism operates via REDUCED REGRESSION not increased progression.</t>
  </si>
  <si>
    <t>NEW</t>
  </si>
  <si>
    <t>Geographic subgroup — N.America/Europe vs Sri Lanka/China</t>
  </si>
  <si>
    <t>N.Am/Europe: 0.056mm; Sri Lanka/China: 0.20mm. Ratio 3.57×. p&lt;0.001</t>
  </si>
  <si>
    <t>N.Am/Eur: 0.025–0.087; SL/China: 0.15–0.27</t>
  </si>
  <si>
    <t>Table 3 / Figure 2 — geographic subgroup meta-analysis</t>
  </si>
  <si>
    <t>ONLY statistically significant subgroup effect in the entire SR (p&lt;0.001). N.America &amp; Europe 0.056mm (CI 0.025–0.087, I²=99%, 8 datasets) vs Sri Lanka &amp; China 0.20mm (CI 0.15–0.27, I²=83%, 5 datasets). Likely proxy for socioeconomic position and associated risk determinants.</t>
  </si>
  <si>
    <t>Ratio: 0.20/0.056 = 3.57. US multiplier for model: N.Am/Europe rate is ~56% of pooled (0.056/0.10). UK baseline should use European estimate.</t>
  </si>
  <si>
    <t>Complete — Full-Text Extracted</t>
  </si>
  <si>
    <t>IMPLICATIONS FOR MODEL: (1) The US country multiplier of 0.92× in Sheet 4 should be reconsidered — the data suggest N.America/Europe rates are very similar (both within the 0.056mm subgroup), so UK/US differential is minimal. Revise toward 1.0. (2) The model base case should use the N.America/Europe estimate (0.056mm) rather than the global pooled (0.10mm) as the target population is UK/US. (3) Geographic location captures unmeasured confounders (SES, access to care, nutrition) better than individual covariates.</t>
  </si>
  <si>
    <t>S4  |  TIER 1</t>
  </si>
  <si>
    <t>Teles R, Moss K, Preisser JS, et al.  (2018)  —  Patterns of periodontal disease progression based on linear mixed models of clinical attachment loss</t>
  </si>
  <si>
    <t>📋  EXTRACTION NOTES:  Multicentre US prospective cohort (NCT01489839): Forsyth, NYU, Buffalo, SIU. N=415 subjects (113 healthy, 144 mild, 158 severe PD), 66,193 sites monitored bimonthly for 12 months without treatment. LMM applied to repeated CAL measures to classify sites as regressing/stable/intermediate/progressing. Key outputs: 0.7% of sites progressing; 14% of subjects "active" (≥3 progressing sites); 93% of active had periodontitis; mean rate 0.35 mm/yr in active; pocketing dominant mode (49%); 47% agreement with ≥3mm threshold. Companion to Teles 2016 (S13).</t>
  </si>
  <si>
    <t>0.08 teeth/yr</t>
  </si>
  <si>
    <t>Not reported with CI</t>
  </si>
  <si>
    <t>Discussion p.21 — comparison with maintenance literature</t>
  </si>
  <si>
    <t>Mean annual incidence of tooth loss per periodontitis subject (0.08/year) similar to maintenance literature. Subjects were UNTREATED during 12mo monitoring. 28 teeth lost (pain 5, caries 8, fracture 8, endo 1, 3rd molar 2, perio 2, unknown 2).</t>
  </si>
  <si>
    <t>Extracted — Source Location Corrected</t>
  </si>
  <si>
    <t>CORRECTIONS: (1) Subjects NOT treated during monitoring — untreated tooth loss rate. (2) Value from Discussion, not Abstract/Table 2. (3) 0.08/yr comparable to maintenance literature despite no treatment — reflects short follow-up and rescue therapy rules. (4) 24% required site-level rescue; 46 subjects transitioned to treatment entirely.</t>
  </si>
  <si>
    <t>Table 2/3 — q23 row</t>
  </si>
  <si>
    <t>LMM-based analysis — does not report transition intensities in msm framework. Reports site-level progression/regression patterns.</t>
  </si>
  <si>
    <t>N/A — Different Methodology</t>
  </si>
  <si>
    <t>Teles 2018 uses LMM not msm. Progression rates are site-level, not patient-level state transitions. Cannot directly extract q₂₃.</t>
  </si>
  <si>
    <t>0.35 mm/yr</t>
  </si>
  <si>
    <t>Range −0.66 to 1.2 mm/yr across active subjects</t>
  </si>
  <si>
    <t>Range</t>
  </si>
  <si>
    <t>Discussion p.23 / Table 6 (delta observed CAL for active group)</t>
  </si>
  <si>
    <t>Active subjects (≥3 progressing sites, n=53): ΔCAL observed 0.33 ± 0.40 mm/yr, ΔCAL predicted 0.17 ± 0.16 mm/yr. Discussion: "the mean was 0.35 mm/year" range −0.66 to 1.2. Discrepancy between 0.35 and Table 6 value of 0.33 may reflect different averaging.</t>
  </si>
  <si>
    <t>Misclassified — Not q₃₄</t>
  </si>
  <si>
    <t>WARNING: 0.35 mm/yr is CAL loss RATE in active subjects, NOT a transition intensity. Table 6 shows 0.33 ± 0.40 observed vs 0.17 ± 0.16 predicted for active group; −0.18 ± 0.37 observed for unchanged group (p&lt;0.0001). Not usable as q₃₄.</t>
  </si>
  <si>
    <t>q₃₂ NSPT reversal — Stage II → Gingivitis</t>
  </si>
  <si>
    <t>Site-level: 6.0% regressing (3,987/66,193). Unchanged subjects ΔCAL = −0.18 ± 0.37 mm</t>
  </si>
  <si>
    <t>Results section — site regression rates</t>
  </si>
  <si>
    <t>LMM: 3,987 sites (6.0%) regressing, 57,037 (86.2%) stable, 4,687 (7.1%) intermediate, 482 (0.7%) progressing. Unchanged subjects (n=143) ΔCAL = −0.18 ± 0.37 mm. Does not report q₃₂ as transition intensity.</t>
  </si>
  <si>
    <t>Extracted — Not Convertible to q₃₂</t>
  </si>
  <si>
    <t>LMM site regression cannot convert to q₃₂: (1) site-level not patient-state; (2) includes measurement noise smoothing; (3) no NSPT/spontaneous distinction. HR_NSPT from Teles 2016 reversal rates (S13).</t>
  </si>
  <si>
    <t>q₄₃ Surgical reversal — Stage III/IV → Stage II</t>
  </si>
  <si>
    <t>Not separately reported for surgical</t>
  </si>
  <si>
    <t>Teles 2018 does not distinguish surgical vs NSPT reversal. Use Mailoa 2015 (S8) for surgical-specific estimates.</t>
  </si>
  <si>
    <t>Not Available — Use S8</t>
  </si>
  <si>
    <t>Teles 2018 does not distinguish surgical vs NSPT. Use Mailoa 2015 (S8). Note: TP-08 REPURPOSED from q₄₃ reversal (removed per EFP/AAP 2018) to HR_surgical on q₄₅.</t>
  </si>
  <si>
    <t>N/A — smokers excluded from study</t>
  </si>
  <si>
    <t>Exclusion criteria — Methods p.17</t>
  </si>
  <si>
    <t>Exclusion: "use of tobacco products within 1 year before screening visit." No smoking data available.</t>
  </si>
  <si>
    <t>N/A — Smokers Excluded</t>
  </si>
  <si>
    <t>CRITICAL: Teles 2016/2018 EXCLUDED all tobacco users. Cannot provide smoking HRs. Only significant baseline predictor of active status was plaque (77% vs 67%, p=0.006). PD, CAL, BOP not significant across categories at baseline (Table 6).</t>
  </si>
  <si>
    <t>LMM site-level progression patterns</t>
  </si>
  <si>
    <t>proportions</t>
  </si>
  <si>
    <t>Regressing 6.0%; Stable 86.2%; Intermediate 7.1%; Progressing 0.7%</t>
  </si>
  <si>
    <t>Table 2 — LMM classification; Table 3 — site position; Table 4 — by baseline PD</t>
  </si>
  <si>
    <t>N=66,193 sites, 415 subjects. 44% of participants had ≥1 progressing site. Subject groups: 56% unchanged, 30% transitional, 14% active. Progression: molars 50%, interproximal 72%. Deep sites 2.7% vs shallow 0.7% progressing. Pocketing 49%, recession 22%, combined 28%. Only 47% agreement LMM vs ≥3mm threshold.</t>
  </si>
  <si>
    <t>Calibration targets: ~0.7% sites progressing; ~14% patients active; progression at molars/interproximal; deep sites 2.7% vs shallow 0.7% but more shallow sites progress in absolute numbers (387 vs 15). 47% LMM/threshold agreement highlights measurement error.</t>
  </si>
  <si>
    <t>S5  |  TIER 2</t>
  </si>
  <si>
    <t>Multiple — OHIP-14 to EQ-5D mapping literature  (—)  —  Search: 'periodontal EQ-5D' OR 'OHIP-14 utility' in PubMed</t>
  </si>
  <si>
    <t>Various</t>
  </si>
  <si>
    <t>📋  EXTRACTION NOTES:  No single definitive source. Search PubMed for 'periodontal EQ-5D' or 'OHIP-14 utility weights'. Candidate papers: Gerber et al. mapping study; Tonetti et al. cost-effectiveness paper; Slot et al. economic evaluation. Extract utility by disease state; if not available per state use disutility of tooth loss from broader dental HRQoL literature.</t>
  </si>
  <si>
    <t>0–1</t>
  </si>
  <si>
    <t>Extract per disease state or map from OHIP-14</t>
  </si>
  <si>
    <t>Not Started</t>
  </si>
  <si>
    <t>S6  |  TIER 2</t>
  </si>
  <si>
    <t>NHS England / ADA / CMS  (2024)  —  NHS dental charges schedule; ADA CDT codes D4341/D4342; CMS Medicare fee schedule</t>
  </si>
  <si>
    <t>Government / professional body publications</t>
  </si>
  <si>
    <t>📋  EXTRACTION NOTES:  UK: NHS dental banding charges are published annually. Banding 2 covers scaling and polishing (NSPT equivalent). Banding 3 covers dentures (edentulism cost). US: CMS Medicare fee schedule lists CDT D4341 (4+ teeth per quadrant) and D4342 (1-3 teeth per quadrant). Use national average rate, not regional.</t>
  </si>
  <si>
    <t>NHS dental charges page — current year</t>
  </si>
  <si>
    <t>CMS Medicare fee schedule — national average</t>
  </si>
  <si>
    <t>S7  |  TIER 3 (Phase 2)</t>
  </si>
  <si>
    <t>MIMIC-IV (Beth Israel Deaconess Medical Center)  (Ongoing)  —  MIMIC-IV Electronic Health Records — PhysioNet</t>
  </si>
  <si>
    <t>PhysioNet credentialed dataset</t>
  </si>
  <si>
    <t>📋  EXTRACTION NOTES:  MIMIC-IV v3.1 accessed via PhysioNet BigQuery (physionet-data.mimiciv_3_1_hosp). K05.x prevalence = 0.06% (207/364,627 patients) — insufficient for planned logistic regression to derive TP-10 diabetes OR. Preshaw 2012 Lancet estimate (OR 2.10 [1.70–2.58]) RETAINED as definitive source, supplemented by Borgnakke et al. 2013. MIMIC-IV role REFRAMED: used for covariate characterisation and synthetic population calibration (Layer 2). Key findings: K05 patients show diabetes prevalence 31.9% vs 7.5% (directionally consistent with OR 2.10), CRP median 36.3 vs 7.4 mg/L (supporting inflammatory pathway), smoking prevalence 24.2% vs 4.4%, mean age 58.3 vs 48.9, mean 6.0 admissions vs 2.4 (higher healthcare utilisation). See MIMIC-IV characterisation CSV for full biomarker distributions.</t>
  </si>
  <si>
    <t>Validated — 24.2% vs 4.4% prevalence</t>
  </si>
  <si>
    <t>MIMIC-IV K05 vs no-oral-diagnosis comparison</t>
  </si>
  <si>
    <t>Complete — Directional validation</t>
  </si>
  <si>
    <t>MIMIC-IV smoking prevalence in K05 patients (24.2%) vs no oral diagnosis (4.4%) = 5.5× enrichment. Supports the smoking HR 1.64 used in stratified matrices. Not used as replacement estimate — Mdala/Needleman sources are stronger.</t>
  </si>
  <si>
    <t>Diabetes OR on periodontal progression</t>
  </si>
  <si>
    <t>OR 2.10 [1.70–2.58] — Preshaw 2012 RETAINED</t>
  </si>
  <si>
    <t>Preshaw 2012 Lancet + MIMIC-IV directional validation</t>
  </si>
  <si>
    <t>Complete — Preshaw retained</t>
  </si>
  <si>
    <t>MIMIC-IV K05.x n=207 too small for logistic regression. Crude enrichment (31.9% vs 7.5% diabetes) is directionally consistent with OR 2.10 but ICU selection bias inflates both exposures. Preshaw 2012 meta-analytic estimate from thousands of patients is the stronger parameter.</t>
  </si>
  <si>
    <t>S8  |  TIER 1</t>
  </si>
  <si>
    <t>Mailoa J, Lin GH, Khoshkam V. et al 2015 - Long-Term Effect of Four Surgical Periodontal Therapies and One Non-Surgical Therapy: A Systematic Review and Meta-Analysis</t>
  </si>
  <si>
    <t>📋  EXTRACTION NOTES:  FULL-TEXT VERIFIED. Mailoa 2015 SR &amp; meta-analysis of 8 RCTs (≥2yr follow-up, SPT q3–6mo). Data stratified by PD: 1–3mm, 4–6mm, ≥7mm. CRITICAL: Table 2 ranges are study-level min/max, NOT 95% CIs. Meta-analytic WMDs with CIs in Figs 1–3 / Table 3. All studies high risk of bias. HR_NSPT=0.58 derivation primarily from Teles 2016; Mailoa corroborates. HR_surgical=0.45 CI needs correction — "1.3%–47.0%" was misattributed.</t>
  </si>
  <si>
    <t>SRP 4–6mm: 8.4% CAL gain (range 2.8%–22.6%, 3 RCTs); SRP ≥7mm: 9.8% (range 1.3%–47.0%, 2 RCTs)</t>
  </si>
  <si>
    <t>Study-level ranges, NOT 95% CIs. WMD SRP vs MWF CAL (4–6mm): −0.29mm (CI −0.36 to −0.22, I²=0%)</t>
  </si>
  <si>
    <t>Table 2 (% CAL gain); Figure 2 / Table 3 (meta-analytic WMD)</t>
  </si>
  <si>
    <t>SRP 4–6mm: 8.4% CAL gain (Becker 22.6%, Pihlstrom 2.8%, Renvert). SRP ≥7mm: 9.8% (Becker 47.0%, Pihlstrom 1.3%). Meta-analysis: SRP produces 0.29mm MORE CAL gain than MWF in 4–6mm (p&lt;0.00001). SRP also 0.34mm more than OS (p&lt;0.05).</t>
  </si>
  <si>
    <t>HR_NSPT=0.58 from Teles 2016 reversal rate, corroborated by Mailoa CAL gain data</t>
  </si>
  <si>
    <t>CORRECTIONS: (1) 2.8%–22.6% is RANGE not CI. (2) Meta-analysis FAVOURS SRP over surgery for CAL in 4–6mm. (3) HR_NSPT=0.58 primarily from Teles; Mailoa is corroboration. (4) PSA CI [0.38–0.78] from Teles threshold sensitivity. (5) All 8 RCTs high risk of bias.</t>
  </si>
  <si>
    <t>OS ≥7mm: 9.38% CAL gain (1 study only). MWF ≥7mm: 14.2% (range 3.2%–45.3%, 2 studies)</t>
  </si>
  <si>
    <t>WMD OS vs SRP ≥7mm PD reduction: 0.83mm (CI 0.10–1.57). CAL WMD: 0.00 (CI −0.85 to 0.86)</t>
  </si>
  <si>
    <t>WMD</t>
  </si>
  <si>
    <t>Table 2 (% gain); Figure 3 / Table 3 (WMDs)</t>
  </si>
  <si>
    <t>OS ≥7mm: 9.38% from Becker 2001 ONLY. Meta-analysis: OS 0.83mm more PD reduction than SRP (p=0.03). BUT CAL: OS=SRP (WMD 0.00). Surgical advantage is pocket elimination, NOT CAL gain.</t>
  </si>
  <si>
    <t>HR_surgical=0.45 derivation revised — see notes</t>
  </si>
  <si>
    <t>Complete — Full-Text Verified — CI Corrected</t>
  </si>
  <si>
    <t>CORRECTIONS: (1) "1.3%–47.0%" was SRP ≥7mm range, NOT OS CI — misattributed. OS is single-study. (2) No CAL advantage for surgery vs SRP in ≥7mm (WMD=0.00). (3) HR_surgical=0.45 [0.20–0.75] is plausible assumption but CI is not from Mailoa. (4) Surgical benefit = PD reduction (42.8% OS vs 21.6% SRP) reducing reinfection risk.</t>
  </si>
  <si>
    <t>S9  |  TIER 1</t>
  </si>
  <si>
    <t>Faddy MJ, Cullinan MP, Palmer JE, Westerman B, Seymour GJ  (2000)  —  Ante-dependence modeling in a longitudinal study of periodontal disease: the effect of age, gender, and smoking status</t>
  </si>
  <si>
    <t>📋  EXTRACTION NOTES:  2-state Markov chain (healthy ↔ diseased, defined as ≥4 sites with PD≥4mm). 456 University of Queensland staff volunteers, 3-year follow-up. Key finding: smoking and age inhibit REGRESSION (healing) rather than promoting progression. Extract transition probabilities for progression and regression, and covariate effects.</t>
  </si>
  <si>
    <t>Regression rate (diseased → healthy)</t>
  </si>
  <si>
    <t>transition prob</t>
  </si>
  <si>
    <t>β (base, female non-smoker age 40) = exp(0.10 − 0.035×40) = exp(−1.30) = 0.272 yr⁻¹</t>
  </si>
  <si>
    <t>SE of age coeff = 0.017; SE of smoking coeff = 0.73</t>
  </si>
  <si>
    <t>SE</t>
  </si>
  <si>
    <t>Results section — fitted model equations</t>
  </si>
  <si>
    <t>log β = 0.10 (±0.71) − 0.035 (±0.017) × age + 0.53 (±0.38) × gender − 1.26 (±0.73) × smoking status. Rates from 1yr, 2yr, 3yr visit data (post-Hawthorne stabilisation).</t>
  </si>
  <si>
    <t>Base β at age 40 (female, non-smoker): exp(0.10 − 0.035×40) = 0.272 yr⁻¹</t>
  </si>
  <si>
    <t>2-state model (healthy=&lt;4 sites PD≥4mm; diseased=≥4 sites). n=456 Univ Queensland staff, 3yr follow-up. Florida Probe 20g. Regression rate varies with age/gender/smoking but NOT disease state severity.</t>
  </si>
  <si>
    <t>Smoking effect on regression (inhibition)</t>
  </si>
  <si>
    <t>exp(−1.26) = 0.284 (smokers have 28% of non-smokers regression rate)</t>
  </si>
  <si>
    <t>SE = 0.73 for smoking coefficient; 95% CI for coefficient: −1.26 ± 1.96×0.73 = [−2.69, 0.17]</t>
  </si>
  <si>
    <t>Smoking coefficient on log(β) = −1.26 (±0.73). Significant at p≤0.04. Smokers regression rate 28% of non-smokers. Equivalent to ageing 36 years.</t>
  </si>
  <si>
    <t>HR on regression = exp(−1.26) = 0.284; CI: exp(−2.69) to exp(0.17) = [0.068, 1.185]</t>
  </si>
  <si>
    <t>CRITICAL: Smoking effect is on REGRESSION (healing), NOT progression. α was unaffected by smoking. This HR 0.284 means smokers heal at ~28% the rate of non-smokers. For the 5-state model, apply as modifier to q₃₂ (NSPT reversal): q₃₂(smoker) = q₃₂(base) × 0.284. Wide CI crosses 1.0 reflecting n=47 smokers. Smoking×treatment interaction HR of 1.15 in Sheet 4 is conservative vs this estimate.</t>
  </si>
  <si>
    <t>S10  |  TIER 1</t>
  </si>
  <si>
    <t>Schatzle et al 2009 - The clinical course of chronic periodontitis: V.Predictivefactors in periodontal disease</t>
  </si>
  <si>
    <t>📋  EXTRACTION NOTES:  26-year longitudinal study, 565→223 Norwegian males (1969–1995, age 16–59). Markov chain (ante-dependence modelling) with multi-category CAL states. Reports transition rates for progression AND regression between CAL categories. Covariates: calculus, smoking, GI, age. Regular dental care population.</t>
  </si>
  <si>
    <t>TP-03/04/05</t>
  </si>
  <si>
    <t>Progression rates across CAL categories</t>
  </si>
  <si>
    <t>log(α) = a₀ + 0.85×smoking + 1.62×CI; base α varies by period</t>
  </si>
  <si>
    <t>Smoking coeff 0.85 (p&lt;0.01); CI coeff 1.62 (p&lt;0.01)</t>
  </si>
  <si>
    <t>p-value</t>
  </si>
  <si>
    <t>Results section — fitted Markov model equations (i)–(iv)</t>
  </si>
  <si>
    <t>log(α) intercepts: −6.21 (surveys 1–4), −7.10 (4–5), −5.96 (5–6), −4.59 (6–7). Covariates: +0.85×smoking +1.62×CI. Age, PlI, GI NOT significant on progression (p&gt;0.2).</t>
  </si>
  <si>
    <t>Base α (non-smoker, CI=0): surveys 1–4: exp(−6.21)=0.0020; 6–7: exp(−4.59)=0.0101. Smoker CI=1: surveys 1–4: exp(−6.21+0.85+1.62)=0.024.</t>
  </si>
  <si>
    <t>varies — see Notes</t>
  </si>
  <si>
    <t>Level 0→1 transition (Tonetti &amp; Claffey 2005): Level 0=≤1 proximal site LoA≥3mm; Level 1=≥2 non-adjacent teeth LoA≥3mm. n=380, 26yr follow-up, 7 surveys. Disease categories are PATIENT-LEVEL. Progression rate increased over study reflecting ageing cohort. Only 2/380 ever reached Level 2.</t>
  </si>
  <si>
    <t>Smoking effect — increases progression rate</t>
  </si>
  <si>
    <t>exp(0.85) = 2.34 (smokers ~2.3× progression rate)</t>
  </si>
  <si>
    <t>p&lt;0.01</t>
  </si>
  <si>
    <t>Results section — Markov model covariate effects</t>
  </si>
  <si>
    <t>Smoking coefficient on log(α) = +0.85. Significant (p&lt;0.01). Smokers had approximately twice the rate of disease progression. Net progression 3–4 years earlier than non-smokers.</t>
  </si>
  <si>
    <t>CONTRAST WITH FADDY 2000: In Faddy, smoking affected ONLY regression (not progression). In Schätzle, smoking affects ONLY progression (not regression, p&gt;0.2). Different populations (Australian general vs Norwegian well-maintained), different disease definitions, different follow-up lengths. For 5-state model: use BOTH mechanisms — smoking increases forward rates AND inhibits regression. HR on progression ≈ 2.34; HR on regression ≈ 0.284 (from Faddy).</t>
  </si>
  <si>
    <t>S11  |  TIER 1</t>
  </si>
  <si>
    <t>Schätzle M, Löe H, Bürgin W, Anerud A, Boysen H, Lang NP  (2003)  —  Clinical course of chronic periodontitis. I. Role of gingivitis</t>
  </si>
  <si>
    <t>📋  EXTRACTION NOTES:  FULL-TEXT VERIFIED. Same 26yr Norwegian cohort as Schätzle 2009. Sites categorised by CONSISTENT GI history (always GI=0, always GI=1, always GI=2). Key quantitative outputs: cumulative LoA by GI at age ~60 (Fig 7); ORs for LoA by GI level (Table 9); annualised LoA rates; pocket formation frequency by GI and age (Table 10, Figs 10-11); smoking ORs stratified by GI. Provides the empirical basis for the q₂₃/q₃₄ splitting assumption.</t>
  </si>
  <si>
    <t>GI=0: 1.94mm; GI=1: 2.42mm; GI=2: 3.31mm at age ~60. Annualised: GI=0: 0.04mm/yr; GI=1: 0.05mm/yr; GI=2: 0.07mm/yr</t>
  </si>
  <si>
    <t>OR GI=2 vs GI=0: 3.22 (CI 3.03–3.42); GI=1 vs GI=0: 2.29 (CI 2.21–2.39); GI=2 vs GI=1: 1.40 (CI 1.33–1.48)</t>
  </si>
  <si>
    <t>Fig 7 (cumulative LoA by GI); Table 9 (ORs); Results section (annualised rates)</t>
  </si>
  <si>
    <t>Cumulative LoA at age ~60: GI=0 1.94mm, GI=1 2.42mm, GI=2 3.31mm. Annualised: 0.04, 0.05, 0.07 mm/yr. Excess loss GI=2 vs GI=0 = 70%. OR for LoA: GI=2 vs GI=0 = 3.22 (CI 3.03–3.42). Interproximal pocket formation at ~60: GI=0 20%, GI=1 28%, GI=2 54%.</t>
  </si>
  <si>
    <t>q₂₃/q₃₄ split: GI=2 vs GI=0 OR=3.22. GI=2 vs GI=1 OR=1.40. Ratio of q₂₃:q₃₄ informed by: (a) 70% excess loss = differential rate of progression through disease states; (b) pocket formation frequency 54% (GI=2) vs 20% (GI=0) = 2.7× differential at interproximal sites.</t>
  </si>
  <si>
    <t>FULL-TEXT CONFIRMS AND EXTENDS original extraction. NEW DATA: (1) Annualised rates: GI=0 0.04mm/yr, GI=1 0.05mm/yr, GI=2 0.07mm/yr — sites with BOP lose 40–75% more per year. (2) ORs from logistic regression (Table 9): GI=2 vs GI=0 = 3.22, GI=1 vs GI=0 = 2.29. (3) Pocket formation ≥4mm at age 55–59 (Table 10): GI=0 2.08%, GI=1 7.01%, GI=2 28.81%. (4) Interproximal pocket formation at ~60: GI=0 20%, GI=1 28%, GI=2 54%. (5) Before age 40, pocket formation negligible; after 40, frequency increases significantly — supports age-dependent q₂₃. (6) The 55:45 split (q₂₃:q₃₄) is supported by the observation that progression from gingivitis to initial periodontitis (q₂₃) is the dominant transition, with the GI=2→pocket formation rate (54%) being 2.7× the GI=0 rate (20%). SENSITIVITY: vary split 40:60 to 70:30 as planned.</t>
  </si>
  <si>
    <t>Age threshold effect on pocket formation</t>
  </si>
  <si>
    <t>qualitative</t>
  </si>
  <si>
    <t>Pocket formation ≥2mm: before age 40 negligible; after 40 increases significantly. At 55–59: GI=0 2%, GI=1 7%, GI=2 29% with PD 4–6mm</t>
  </si>
  <si>
    <t>Table 10 frequency data (no formal CI)</t>
  </si>
  <si>
    <t>Frequency</t>
  </si>
  <si>
    <t>Table 10 (pocket depth by GI and age); Fig 8 (mean PD by age); Results section</t>
  </si>
  <si>
    <t>Mean PD at age ~60: GI=0 1.64mm, GI=1 1.90mm, GI=2 2.78mm. PD ≥4mm at age 55–59: GI=0 2.08%, GI=1 7.24%, GI=2 28.81%. Pocket formation beyond 2mm occurred before age 40 in GI=2/GI=1, ~10yr later in GI=0. Very few sites (&lt;0.8%) exceeded 6mm in any group.</t>
  </si>
  <si>
    <t>FULL-TEXT PROVIDES KEY AGE THRESHOLD DATA: (1) Age 40 is the inflection point — before 40, pocket formation almost negligible; after 40, frequency increases significantly in GI=2 sites. (2) Supports age boundary of 40 in stratified matrices (current boundaries: 18–44, 45–64, 65+). Consider shifting to 18–39, 40–64, 65+ to align with this biological threshold. (3) The &lt;0.8% rate of pockets &gt;6mm across all GI groups by age 60 in this WELL-MAINTAINED population highlights that Stage III/IV is rare with good dental care — the model should reflect this in the treated arm.</t>
  </si>
  <si>
    <t>Smoking ORs stratified by GI level (Table 9)</t>
  </si>
  <si>
    <t>GI=0: smoking OR 2.02 (CI 1.27–3.20); GI=1: OR 1.41 (CI 1.02–1.95); GI=2: OR 1.01 NS (CI 0.21–4.89)</t>
  </si>
  <si>
    <t>See D column for CIs</t>
  </si>
  <si>
    <t>Table 9 — risk factors for LoA by GI group</t>
  </si>
  <si>
    <t>Smoking significant in GI=0 (OR 2.02) and GI=1 (OR 1.41), but NOT significant in GI=2 (OR 1.01). Interpretation: in already-inflamed sites, the host inflammatory response itself drives destruction more than smoking. In non-inflamed sites, smoking is the dominant risk factor. Subgingival calculus CI=2 was the highest risk in GI=2 group: OR 4.22 (CI 1.61–11.07).</t>
  </si>
  <si>
    <t>MECHANISTIC INSIGHT: Smoking effect DECREASES as inflammation increases. This is consistent with Faddy 2000 (smoking inhibits regression) and Schätzle 2009 (smoking increases progression). In GI=2 sites, the inflammatory destruction pathway is already maximally active — smoking adds little incremental risk. For the 5-state model: the smoking HR of 1.64 on forward transitions is an appropriate AVERAGE across inflammation states but may OVERESTIMATE the effect in already-progressed states (Stage III/IV). Consider: smoking HR may be higher for q₁₂ and q₂₃ than for q₃₄ and q₄₅. Calculus OR 4.22 in GI=2 — supports Schätzle 2009 calculus finding.</t>
  </si>
  <si>
    <t>S12  |  TIER 2</t>
  </si>
  <si>
    <t>Kocher T, Meisel P, Biffar R, Völzke H, Holtfreter B  (2012/2023)  —  Natural history of periodontal disease Part 2: SHIP cohort — 5yr and 21yr follow-up</t>
  </si>
  <si>
    <t>J Clin Periodontol / Periodontol 2000</t>
  </si>
  <si>
    <t>📋  EXTRACTION NOTES:  Population-based cohort (SHIP-START: n=4308, SHIP-TREND: n=4420), Northeast Germany. 5yr and 21yr follow-up. Reports annual CAL progression (0.02 mm/yr at 5yr), severity-stratified tooth loss rates (severe PD: 3–4× higher than no/mild), PD quintile trajectory stability over 10yr. NOT currently in protocol — should be added as validation source.</t>
  </si>
  <si>
    <t>PD quintile trajectory stability — 10yr</t>
  </si>
  <si>
    <t>Majority remained in/near baseline PD quintile after 10yr</t>
  </si>
  <si>
    <t>Meisel 2025 — SHIP-START 10yr PD trajectory</t>
  </si>
  <si>
    <t>Percentile-based quintiles of mean PD measurements: majority of participants remained in or near their baseline quintile after 10 years.</t>
  </si>
  <si>
    <t>Extracted — Qualitative</t>
  </si>
  <si>
    <t>Supports the Markov assumption of relatively stable transition intensities over time. Also supports use of baseline PD as predictor of future state.</t>
  </si>
  <si>
    <t>S13  |  TIER 1</t>
  </si>
  <si>
    <t>Teles R, Benecha HK, Preisser JS, Moss K, et al.  (2016)  —  Modelling changes in clinical attachment loss to classify periodontal disease progression</t>
  </si>
  <si>
    <t>📋  EXTRACTION NOTES:  Same study as Teles 2018 (S4) but earlier analysis with n=329 (vs 415). 52,441 sites. Key distinction: Table 2 = OVERALL reversal rates (42%, 64%, 78% at 1/2/3mm) vs Table 4 = LMM-PROGRESSING site reversal rates (10.6%, 30.2%, 53.0%). HR_NSPT derivation uses 42% overall → HR ≈ 0.58. LMM threshold: 75th percentile SE = 0.238, progressing ≥ 0.94mm ΔpCAL.</t>
  </si>
  <si>
    <t>HR_NSPT derivation — overall site reversal rates</t>
  </si>
  <si>
    <t>proportion</t>
  </si>
  <si>
    <t>Mean reversal: 42.0% (1mm), 64.4% (2mm), 77.7% (3mm) — ALL sites</t>
  </si>
  <si>
    <t>Per-visit range: 36–50% (1mm), 56–73% (2mm), 67–100% (3mm)</t>
  </si>
  <si>
    <t>Table 2 — overall population reversal rates</t>
  </si>
  <si>
    <t>Over 12 months, 21.2%, 2.8% and 0.3% of sites progressed at 1, 2, 3mm. On average 42.0%, 64.4% and 77.7% reversed in subsequent visits.</t>
  </si>
  <si>
    <t>HR_NSPT ≈ 1 − reversal_rate = 1 − 0.42 = 0.58</t>
  </si>
  <si>
    <t>Complete — Derivation Documented</t>
  </si>
  <si>
    <t>Uses 42% overall 1mm reversal (Table 2). For LMM-progressing sites (Table 4), reversal only 10.6% at 1mm — much lower. PSA range [0.38–0.78] from threshold sensitivity.</t>
  </si>
  <si>
    <t>LMM-progressing sites — reversal rates (Table 4)</t>
  </si>
  <si>
    <t>LMM progressing reversal: 10.6% (1mm), 30.2% (2mm), 53.0% (3mm)</t>
  </si>
  <si>
    <t>1mm reversal drops from 25% (4mo) to 3% (10–12mo) in progressing sites</t>
  </si>
  <si>
    <t>Table 4 — reversal by LMM category</t>
  </si>
  <si>
    <t>Progressing sites (ΔpCAL ≥0.94mm, n=327, 147 subjects): 97.1% crossed 1mm, 76.9% 2mm, 23.1% 3mm at 12mo. Mean reversal: 10.6%, 30.2%, 53.0%. Reversal DECREASED over time for 1mm/2mm thresholds.</t>
  </si>
  <si>
    <t>PREVIOUS ERROR CORRECTED: K column had 1.033 = −ln(1−0.644), incorrectly converting 64.4% overall 2mm reversal to intensity. Invalid because: (1) 64.4% is mean of per-visit proportions, not cumulative probability; (2) mixes time intervals; (3) not a Markov transition probability. Correct use is via HR_NSPT derivation (row 122). LMM-progressing sites have much lower reversal (10.6%) confirming LMM identifies genuine progression.</t>
  </si>
  <si>
    <t>LMM classification thresholds</t>
  </si>
  <si>
    <t>mm</t>
  </si>
  <si>
    <t>75th %ile SE = 0.238; progressing ≥ 0.94mm ΔpCAL; intermediate 0.47–0.94mm</t>
  </si>
  <si>
    <t>Table 3 / Methods — threshold derivation</t>
  </si>
  <si>
    <t>52,441 sites: Regressing 1,918 (3.7%); Stable 46,661 (89.0%); Intermediate 3,535 (6.7%); Progressing 327 (0.6%). Thresholds empirically derived from LMM prediction error distribution.</t>
  </si>
  <si>
    <t>Teles 2016 reports 0.6% progressing; Teles 2018 reports 0.7% (larger sample). 0.94mm threshold is substantially lower than traditional 2–3mm, explaining 47% discordance (Teles 2018).</t>
  </si>
  <si>
    <t>S14  |  TIER 2</t>
  </si>
  <si>
    <t>Axelsson et al (2004) - The long-term effect of a plaque control program on tooth mortality, caries and periodontal disease in adults. Results after 30 years of maintenance</t>
  </si>
  <si>
    <t>📋  EXTRACTION NOTES:  30-year Swedish longitudinal study under supportive periodontal therapy (SPT). Very low tooth loss (0.4–0.7 teeth/subject over 30yr). Already listed as [16] in protocol. Provides treated-population benchmark for q₄₅ under maintenance care — contrast with untreated Sri Lanka cohort (Ramseier, S2).</t>
  </si>
  <si>
    <t>q₄₅ under SPT (treated benchmark)</t>
  </si>
  <si>
    <t>teeth/30yr</t>
  </si>
  <si>
    <t>0.4–0.7 teeth/subject over 30yr</t>
  </si>
  <si>
    <t>Results — tooth mortality under maintenance</t>
  </si>
  <si>
    <t>Very low tooth loss under 30yr of SPT: 0.4–0.7 teeth/subject total.</t>
  </si>
  <si>
    <t>Annual rate = 0.55/30 = 0.018 teeth/yr; intensity ≈ q = −ln(1 − 0.018/28)</t>
  </si>
  <si>
    <t>Extracted — Conversion Needed</t>
  </si>
  <si>
    <t>q₄₅(treated) ≈ 0.013–0.023 teeth/yr. Compare with Ramseier untreated (mean 13.1 teeth/40yr ≈ 0.33 teeth/yr). Treatment effect ratio ≈ 15–25× reduction in tooth loss rate.</t>
  </si>
  <si>
    <t>S15  |  TIER 2</t>
  </si>
  <si>
    <t>Reddy MS, Geurs NC, Jeffcoat RL, Proskin H, Jeffcoat MK  (2000)  —  Periodontal disease progression</t>
  </si>
  <si>
    <t>📋  EXTRACTION NOTES:  44 patients with untreated adult periodontitis, 18 months monthly monitoring using digital subtraction radiography + electronic probe. High-frequency measurement enables within-cycle transition timing. 22.8% of sites lost attachment, 5.4% gained, 71.7% stable. Mean time to lose 1mm attachment = 8.4±0.6 months.</t>
  </si>
  <si>
    <t>Time to 1mm attachment loss</t>
  </si>
  <si>
    <t>months</t>
  </si>
  <si>
    <t>±0.6 (SE)</t>
  </si>
  <si>
    <t>Results — progression modelling</t>
  </si>
  <si>
    <t>Mean time to lose 1mm of attachment was 8.4±0.6 months in progressing sites.</t>
  </si>
  <si>
    <t>Annual rate: 12/8.4 = 1.43 mm/yr in PROGRESSING sites only</t>
  </si>
  <si>
    <t>Extracted</t>
  </si>
  <si>
    <t>This rate applies ONLY to actively progressing sites (22.8% of all sites). Population-average rate much lower. Useful for modelling "burst" progression dynamics.</t>
  </si>
  <si>
    <t>Site-level outcome distribution</t>
  </si>
  <si>
    <t>22.8% lost, 5.4% gained, 71.7% stable</t>
  </si>
  <si>
    <t>Results — site classification over 18 months</t>
  </si>
  <si>
    <t>At site level: 22.8% lost attachment, 5.4% gained, 71.7% showed no statistically significant change over 18 months.</t>
  </si>
  <si>
    <t>Provides site-level activity proportions for model calibration. 71.7% stability rate over 18 months supports the observation that most sites remain quiescent.</t>
  </si>
  <si>
    <t>Markov Model — Disease State Definitions (EFP/AAP 2018)</t>
  </si>
  <si>
    <t>5-state model + death as competing absorbing state</t>
  </si>
  <si>
    <t>State ID</t>
  </si>
  <si>
    <t>State Name</t>
  </si>
  <si>
    <t>Definition</t>
  </si>
  <si>
    <t>Absorbing?</t>
  </si>
  <si>
    <t>Clinical Label</t>
  </si>
  <si>
    <t>S1</t>
  </si>
  <si>
    <t>Periodontal Health</t>
  </si>
  <si>
    <t>No sites CAL ≥2mm; BOP ≤25% of sites</t>
  </si>
  <si>
    <t>Health</t>
  </si>
  <si>
    <t>S2</t>
  </si>
  <si>
    <t>Gingivitis / Stage I Periodontitis</t>
  </si>
  <si>
    <t>CAL 1–2mm; pocket depth ≤4mm</t>
  </si>
  <si>
    <t>Mild disease</t>
  </si>
  <si>
    <t>S3</t>
  </si>
  <si>
    <t>Stage II Periodontitis</t>
  </si>
  <si>
    <t>CAL 3–4mm; maximum pocket depth 5–6mm</t>
  </si>
  <si>
    <t>Moderate disease</t>
  </si>
  <si>
    <t>S4</t>
  </si>
  <si>
    <t>Stage III/IV Periodontitis</t>
  </si>
  <si>
    <t>CAL ≥5mm; PD ≥7mm or tooth loss due to periodontitis</t>
  </si>
  <si>
    <t>Severe disease</t>
  </si>
  <si>
    <t>S5</t>
  </si>
  <si>
    <t>Edentulism</t>
  </si>
  <si>
    <t>Complete tooth loss</t>
  </si>
  <si>
    <t>Yes (absorbing)</t>
  </si>
  <si>
    <t>End state</t>
  </si>
  <si>
    <t>DEATH</t>
  </si>
  <si>
    <t>Death</t>
  </si>
  <si>
    <t>Competing absorbing state — UK/US life tables stratified by age+sex</t>
  </si>
  <si>
    <t>Competing risk</t>
  </si>
  <si>
    <t>Base Transition Intensity Matrix (Literature-Derived | Annual; yr⁻¹)</t>
  </si>
  <si>
    <t>Yellow = forward progression. Treatment effects applied as HRs reducing forward intensities (no backward state transitions). Diagonal = 1 − Σ(off-diagonal row entries). Death column omitted — applied via life-table lookup. NSPT: q₂₃×HR_NSPT, q₃₄×HR_NSPT. Surgical: q₃₄×HR_surg, q₄₅×HR_surg.</t>
  </si>
  <si>
    <t>From \ To</t>
  </si>
  <si>
    <t>S1 Health</t>
  </si>
  <si>
    <t>S2 Gingivitis</t>
  </si>
  <si>
    <t>S3 Stage II</t>
  </si>
  <si>
    <t>S4 Stage III/IV</t>
  </si>
  <si>
    <t>S5 Edentulism</t>
  </si>
  <si>
    <t>1−Σrow</t>
  </si>
  <si>
    <t>0.0450
q₁₂</t>
  </si>
  <si>
    <t>0.0220
q₂₃</t>
  </si>
  <si>
    <t>0.0180
q₃₄</t>
  </si>
  <si>
    <t>0.0310
q₄₅</t>
  </si>
  <si>
    <t>1.0000</t>
  </si>
  <si>
    <t>PROVENANCE DOCUMENTATION — Base Transition Intensities</t>
  </si>
  <si>
    <t>Each base intensity links to Sheet 1 (Literature Parameters) and Sheet 2 (Parameter Extraction Log). All values are PATIENT-LEVEL annual intensities (yr⁻¹).</t>
  </si>
  <si>
    <t>Base Value</t>
  </si>
  <si>
    <t>Primary Source</t>
  </si>
  <si>
    <t>Sheet 2 Section</t>
  </si>
  <si>
    <t>Derivation Method</t>
  </si>
  <si>
    <t>Key Assumption</t>
  </si>
  <si>
    <t>Sensitivity Range</t>
  </si>
  <si>
    <t>q₁₂ = 0.045</t>
  </si>
  <si>
    <t>0.045 yr⁻¹</t>
  </si>
  <si>
    <t>Mdala 2014 [3] Table 2 (CAL+BOP)</t>
  </si>
  <si>
    <t>S1, rows 8/13</t>
  </si>
  <si>
    <t>Site-level p₁₂=0.12 → patient-level via prevalence calibration</t>
  </si>
  <si>
    <t>Not all site transitions cause patient state change; calibrated against cross-sectional prevalence</t>
  </si>
  <si>
    <t>0.031–0.065</t>
  </si>
  <si>
    <t>q₂₃ = 0.022</t>
  </si>
  <si>
    <t>0.022 yr⁻¹</t>
  </si>
  <si>
    <t>Mdala 2014 [3] + Schätzle 2003 split</t>
  </si>
  <si>
    <t>S1 row 9 + S11</t>
  </si>
  <si>
    <t>Mdala combined q₂₃+q₃₄ (patient-level ≈ 0.040) split 55:45</t>
  </si>
  <si>
    <t>Split ratio from Schätzle 2003 GI severity gradient (70% excess loss in GI=2 vs GI=0)</t>
  </si>
  <si>
    <t>0.012–0.038; split ratio 40:60 to 70:30</t>
  </si>
  <si>
    <t>q₃₄ = 0.018</t>
  </si>
  <si>
    <t>0.018 yr⁻¹</t>
  </si>
  <si>
    <t>S1 row 10 + S11</t>
  </si>
  <si>
    <t>Remaining 45% of combined Mdala patient-level intensity</t>
  </si>
  <si>
    <t>Same split assumption as q₂₃. HIGHEST EVPPI — most influential parameter.</t>
  </si>
  <si>
    <t>0.008–0.032; split ratio 40:60 to 70:30</t>
  </si>
  <si>
    <t>q₄₅ = 0.031</t>
  </si>
  <si>
    <t>0.031 yr⁻¹</t>
  </si>
  <si>
    <t>Ramseier 2017 [5]</t>
  </si>
  <si>
    <t>S2, rows 22–23</t>
  </si>
  <si>
    <t>Mean tooth loss 13.1/28 over 40yr → per-patient annual functional tooth loss rate</t>
  </si>
  <si>
    <t>Represents FUNCTIONAL tooth loss, not strict edentulism (q=0.0044). Untreated natural history.</t>
  </si>
  <si>
    <t>0.015–0.055</t>
  </si>
  <si>
    <t>q₃₂ REMOVED</t>
  </si>
  <si>
    <t>Replaced by HR_NSPT and HR_surgical applied to forward transitions</t>
  </si>
  <si>
    <t>See TP-07, TP-08 in Sheet 1</t>
  </si>
  <si>
    <t>Treatment effect modelled as HR on forward intensities rather than backward state transition. Clinically: NSPT slows progression (patients stay in current state longer), does not cause patients to jump backward through discrete states. This avoids the intractable mm/yr → boundary-crossing probability conversion.</t>
  </si>
  <si>
    <t>TREATMENT EFFECT APPLICATION</t>
  </si>
  <si>
    <t>Treatment effects modelled as HRs on forward transitions (no backward state transitions). Three arms compared:</t>
  </si>
  <si>
    <t>Arm</t>
  </si>
  <si>
    <t>q₁₂</t>
  </si>
  <si>
    <t>q₂₃</t>
  </si>
  <si>
    <t>q₃₄</t>
  </si>
  <si>
    <t>q₄₅</t>
  </si>
  <si>
    <t>Initial Cost (UK)</t>
  </si>
  <si>
    <t>SPT Frequency</t>
  </si>
  <si>
    <t>No Treatment</t>
  </si>
  <si>
    <t>Base</t>
  </si>
  <si>
    <t>£0</t>
  </si>
  <si>
    <t>None</t>
  </si>
  <si>
    <t>NSPT</t>
  </si>
  <si>
    <t>Base × HR_NSPT (0.58)</t>
  </si>
  <si>
    <t>£75.30 (Band 2)</t>
  </si>
  <si>
    <t>6-monthly (2/yr × £27.40)</t>
  </si>
  <si>
    <t>Surgical</t>
  </si>
  <si>
    <t>Base × HR_NSPT × HR_surg
(0.58 × 0.45 = 0.261)</t>
  </si>
  <si>
    <t>Base × HR_surg (0.45)</t>
  </si>
  <si>
    <t>£75.30 + £319.10
(Band 2 + Band 3)</t>
  </si>
  <si>
    <t>3-monthly (4/yr × £27.40)</t>
  </si>
  <si>
    <t>24 Covariate-Stratified Transition Intensity Matrices</t>
  </si>
  <si>
    <t>Diabetes (2) × Smoking (3) × Age (2 condensed to match protocol) × Country (2) | Intensities in yr⁻¹</t>
  </si>
  <si>
    <t>Multipliers on base intensities (Sheet 3 provenance): Diabetes 2.10× [PLACEHOLDER]; Current smoke 1.64×; Former smoke 1.20× [ASSUMED]; Age 45–64 1.22×; Age 65+ 1.49×; US 0.92×. TREATMENT EFFECTS (applied as HRs to forward transitions, not backward state jumps): HR_NSPT = 0.58 [0.38–0.78] applied to q₂₃ and q₃₄ under NSPT arm; HR_surgical = 0.45 [0.20–0.75] applied to q₃₄ and q₄₅ under surgical arm. Smoking×treatment interaction: HR_NSPT(smoker) = 0.58 × 1.15 = 0.667 (reduced benefit). Surgical arm: HR_NSPT applied to q₂₃ (surgical patients also receive NSPT); HR_NSPT × HR_surgical applied to q₃₄ (compounded treatment effect = 0.58 × 0.45 = 0.261); HR_surgical applied to q₄₅. Surgical SPT frequency: 3-monthly (4/yr) vs NSPT 6-monthly (2/yr).</t>
  </si>
  <si>
    <t>Stratum #</t>
  </si>
  <si>
    <t>Diabetes</t>
  </si>
  <si>
    <t>Smoking</t>
  </si>
  <si>
    <t>Age Group</t>
  </si>
  <si>
    <t>Country</t>
  </si>
  <si>
    <t>Combined Multiplier</t>
  </si>
  <si>
    <t>q₄₅(untreated)</t>
  </si>
  <si>
    <t>q₄₅(treated)</t>
  </si>
  <si>
    <t>HR_surgical
(on q₃₄, q₄₅)</t>
  </si>
  <si>
    <t>HR_NSPT
(on q₂₃, q₃₄)</t>
  </si>
  <si>
    <t>AI Model Status</t>
  </si>
  <si>
    <t>Never</t>
  </si>
  <si>
    <t>18–44</t>
  </si>
  <si>
    <t>UK</t>
  </si>
  <si>
    <t>US</t>
  </si>
  <si>
    <t>45–64</t>
  </si>
  <si>
    <t>65+</t>
  </si>
  <si>
    <t>Former</t>
  </si>
  <si>
    <t>Current</t>
  </si>
  <si>
    <t>Economic Analysis Register — Dual Output Framework</t>
  </si>
  <si>
    <t>RESTRUCTURED: Primary output = Cost-Consequence Analysis (CCA). Secondary output = Cost-Effectiveness Analysis (CEA) with QALY limitation caveat. Rationale: GBD disability weights produce Δ utility of only 0.013 between periodontal health and Stage III/IV (max QALY gain ≈ 0.13/patient over 10yr). EQ-5D is insensitive to the functional, nutritional, and psychosocial impacts of periodontal disease. CCA avoids this denominator problem by reporting costs and clinical outcomes separately.</t>
  </si>
  <si>
    <t>SECTION A: COST-CONSEQUENCE ANALYSIS (PRIMARY OUTPUT)</t>
  </si>
  <si>
    <t>Report costs and clinical outcomes separately for each comparison, enabling decision-makers to weigh trade-offs using clinical rather than generic utility metrics. This is the more defensible approach for periodontal interventions where QALY-based ICERs are uninformative.</t>
  </si>
  <si>
    <t>Analysis</t>
  </si>
  <si>
    <t>Time Horizon</t>
  </si>
  <si>
    <t>Transition Params</t>
  </si>
  <si>
    <t>Subgroup</t>
  </si>
  <si>
    <t>Discount Rate</t>
  </si>
  <si>
    <t>Total Cost
(No Tx arm)</t>
  </si>
  <si>
    <t>Total Cost
(NSPT arm)</t>
  </si>
  <si>
    <t>Total Cost
(Surgical arm)</t>
  </si>
  <si>
    <t>Teeth Retained
(No Tx)</t>
  </si>
  <si>
    <t>Teeth Retained
(NSPT)</t>
  </si>
  <si>
    <t>Teeth Retained
(Surgical)</t>
  </si>
  <si>
    <t>% Reaching
Edentulism</t>
  </si>
  <si>
    <t>C1</t>
  </si>
  <si>
    <t>NSPT vs No Treatment</t>
  </si>
  <si>
    <t>10yr + Lifetime</t>
  </si>
  <si>
    <t>Literature-derived</t>
  </si>
  <si>
    <t>All patients</t>
  </si>
  <si>
    <t>3.5%</t>
  </si>
  <si>
    <t>C2</t>
  </si>
  <si>
    <t>AI-derived (12 UK strata)</t>
  </si>
  <si>
    <t>C3</t>
  </si>
  <si>
    <t>3.0%</t>
  </si>
  <si>
    <t>C4</t>
  </si>
  <si>
    <t>AI-derived (12 US strata)</t>
  </si>
  <si>
    <t>C5a</t>
  </si>
  <si>
    <t>NSPT — Diabetes subgroup</t>
  </si>
  <si>
    <t>Lifetime</t>
  </si>
  <si>
    <t>AI-derived (diabetes strata)</t>
  </si>
  <si>
    <t>Diabetes only</t>
  </si>
  <si>
    <t>C5b</t>
  </si>
  <si>
    <t>C6</t>
  </si>
  <si>
    <t>Surgical vs NSPT vs No Treatment</t>
  </si>
  <si>
    <t>UK + US</t>
  </si>
  <si>
    <t>AI-derived</t>
  </si>
  <si>
    <t>Stage III/IV (surgical candidates)</t>
  </si>
  <si>
    <t>3.5% / 3.0%</t>
  </si>
  <si>
    <t>C7</t>
  </si>
  <si>
    <t>SPT 3-monthly vs 6-monthly</t>
  </si>
  <si>
    <t>Post-NSPT</t>
  </si>
  <si>
    <t>C8</t>
  </si>
  <si>
    <t>Surgical vs No Treatment</t>
  </si>
  <si>
    <t>C9</t>
  </si>
  <si>
    <t>Teeth Retained</t>
  </si>
  <si>
    <t>Mean number of teeth remaining at end of time horizon per patient. Calculated from Markov trace: Σ(proportion in S1–S4 × teeth-at-risk per state). Baseline: 28 teeth (excluding 3rd molars).</t>
  </si>
  <si>
    <t>CCA Outcome Definitions</t>
  </si>
  <si>
    <t>Cumulative time spent in S5 (edentulism) per patient over the time horizon, discounted. Key clinical outcome for patient-facing communication.</t>
  </si>
  <si>
    <t>Years in Edentulism</t>
  </si>
  <si>
    <t>% Reaching Edentulism</t>
  </si>
  <si>
    <t>Proportion of starting cohort that transitions to S5 within the time horizon. Reports absolute risk difference between arms.</t>
  </si>
  <si>
    <t>Incremental Cost</t>
  </si>
  <si>
    <t>Cost differences between arms. NSPT arm: NHS Band 2 (£75.30) + 6-monthly SPT (£54.80/yr). Surgical arm: NHS Band 3 (£319.10) + NSPT (£75.30) + 3-monthly SPT (£109.60/yr). Discounted.</t>
  </si>
  <si>
    <t>Disease-State Distribution</t>
  </si>
  <si>
    <t>Proportion of cohort in each state (S1–S5) at 1yr, 5yr, 10yr, and end of horizon. Enables visual comparison across all three arms.</t>
  </si>
  <si>
    <t>Tooth Loss Rate</t>
  </si>
  <si>
    <t>Annual teeth lost per patient. Validates against Needleman 2018 pooled rate (0.20 teeth/yr) and Ramseier logistic regression (TP-12: OR 1.94).</t>
  </si>
  <si>
    <t>SECTION B: COST-EFFECTIVENESS ANALYSIS (SECONDARY — QALY LIMITATION CAVEAT)</t>
  </si>
  <si>
    <t>⚠  QALY LIMITATION: GBD disability weights yield Δu(S1→S4) = 0.013 and Δu(S1→S5) = 0.060. Over a 10-year horizon, maximum QALY gain ≈ 0.13/patient. At any plausible treatment cost, this produces ICERs in the hundreds of thousands — not because treatment is ineffective, but because EQ-5D is insensitive to periodontal disease. No periodontitis-specific utility study exists. These results are reported for NICE/HTA methodological completeness only, alongside the primary CCA.</t>
  </si>
  <si>
    <t>WTP Threshold</t>
  </si>
  <si>
    <t>E1</t>
  </si>
  <si>
    <t>£20,000–30,000/QALY</t>
  </si>
  <si>
    <t>Planned</t>
  </si>
  <si>
    <t>E2</t>
  </si>
  <si>
    <t>E3</t>
  </si>
  <si>
    <t>$50,000–100,000/QALY</t>
  </si>
  <si>
    <t>E4</t>
  </si>
  <si>
    <t>E5a</t>
  </si>
  <si>
    <t>E5b</t>
  </si>
  <si>
    <t>E6a</t>
  </si>
  <si>
    <t>Stage III/IV</t>
  </si>
  <si>
    <t>E6b</t>
  </si>
  <si>
    <t>Surgical vs NSPT</t>
  </si>
  <si>
    <t>Both</t>
  </si>
  <si>
    <t>ICER Results Log (SECONDARY — populate with QALY caveat)</t>
  </si>
  <si>
    <t>Params</t>
  </si>
  <si>
    <t>ICER (point)</t>
  </si>
  <si>
    <t>95% CI (PSA)</t>
  </si>
  <si>
    <t>CE at threshold?</t>
  </si>
  <si>
    <t>ΔICER vs lit. (%)</t>
  </si>
  <si>
    <t>Decision changed?</t>
  </si>
  <si>
    <t>CE acceptability (%)</t>
  </si>
  <si>
    <t>QALY gain
(note magnitude)</t>
  </si>
  <si>
    <t>E1 vs E2</t>
  </si>
  <si>
    <t>E3 vs E4</t>
  </si>
  <si>
    <t>Surg vs No Tx</t>
  </si>
  <si>
    <t>UK+US</t>
  </si>
  <si>
    <t>Surg vs NSPT</t>
  </si>
  <si>
    <t>PRIMARY OUTCOME DEFINITION (REVISED)</t>
  </si>
  <si>
    <t>The primary outcome is whether AI-derived covariate-stratified transition probabilities produce MATERIALLY DIFFERENT clinical and economic projections compared to literature-derived population-average parameters. "Material difference" is defined as: (1) CCA: ≥0.5 teeth difference in mean teeth retained at 10yr OR ≥5 percentage points difference in edentulism incidence between AI-derived and literature-derived projections; (2) CEA (secondary): &gt;20% change in ICER point estimate OR change in cost-effectiveness decision at threshold. The CCA threshold is the primary decision criterion; the ICER threshold is retained for NICE methodological comparability only.</t>
  </si>
  <si>
    <t>EVPPI Priority Register</t>
  </si>
  <si>
    <t>EVPPI (£/$)</t>
  </si>
  <si>
    <t>% of Total EVPI</t>
  </si>
  <si>
    <t>Priority</t>
  </si>
  <si>
    <t>Rationale</t>
  </si>
  <si>
    <t>q₃₄ Stage II → Stage III/IV</t>
  </si>
  <si>
    <t>High</t>
  </si>
  <si>
    <t>Highest uncertainty (wide CI from Mdala split assumption); drives tooth retention in moderate disease</t>
  </si>
  <si>
    <t>q₄₅ Stage III/IV → Edentulism</t>
  </si>
  <si>
    <t>Largest clinical consequence (tooth loss); Sri Lanka data = untreated only; functional vs strict edentulism ambiguity</t>
  </si>
  <si>
    <t>HR_NSPT (treatment effect)</t>
  </si>
  <si>
    <t>Directly determines intervention benefit; derived indirectly from CAL gain rates; no RCT reporting state-level transitions</t>
  </si>
  <si>
    <t>Diabetes modifier (q₃₄, q₄₅)</t>
  </si>
  <si>
    <t>Preshaw 2012 Lancet estimate retained (OR 2.10 [1.70–2.58]). MIMIC-IV K05.x prevalence insufficient for replacement (0.06%, n=207/364,627). MIMIC-IV used for covariate characterisation instead. Key stratification dimension for AI-derived matrices.</t>
  </si>
  <si>
    <t>HR_surgical (treatment effect)</t>
  </si>
  <si>
    <t>Medium</t>
  </si>
  <si>
    <t>Very wide CI (0.20–0.75) reflects heterogeneous surgical outcomes; determines E6 analysis</t>
  </si>
  <si>
    <t>Smoking × treatment interaction</t>
  </si>
  <si>
    <t>Faddy/Schätzle show dual mechanism; interaction term currently assumed (1.15×) not derived</t>
  </si>
  <si>
    <t>US NSPT cost (CDT codes)</t>
  </si>
  <si>
    <t>Low</t>
  </si>
  <si>
    <t>Geographic fee variation; unlikely to flip clinical conclusions</t>
  </si>
  <si>
    <t>PSA Configuration</t>
  </si>
  <si>
    <t>Monte Carlo iterations</t>
  </si>
  <si>
    <t>10,000</t>
  </si>
  <si>
    <t>UK discount rate</t>
  </si>
  <si>
    <t>3.5% (NICE reference case)</t>
  </si>
  <si>
    <t>US discount rate</t>
  </si>
  <si>
    <t>3.0% (Panel on CEA)</t>
  </si>
  <si>
    <t>AI-derived CI method</t>
  </si>
  <si>
    <t>Bootstrap (n=1000) → empirical distribution for all 36 matrices</t>
  </si>
  <si>
    <t>Literature CI method</t>
  </si>
  <si>
    <t>Beta (utilities); LogNormal (rates/HRs); Gamma (costs)</t>
  </si>
  <si>
    <t>Primary PSA output</t>
  </si>
  <si>
    <t>Cost-consequence plane: incremental cost vs incremental teeth retained</t>
  </si>
  <si>
    <t>Secondary PSA output</t>
  </si>
  <si>
    <t>Cost-effectiveness plane: incremental cost vs incremental QALY (with caveat)</t>
  </si>
  <si>
    <t>CEAC output (secondary)</t>
  </si>
  <si>
    <t>UK: £0–£50k; US: $0–$150k WTP range</t>
  </si>
  <si>
    <t>AI Survival Model Tracking — DynForest | Dynamic-DeepHit | msm Benchmark</t>
  </si>
  <si>
    <t>Three-model comparison | Performance targets and results log</t>
  </si>
  <si>
    <t>M1: DynForest (RSF)  |  Primary  |  R — DynForest package  |  Ref: Devaux et al. 2023 [7]</t>
  </si>
  <si>
    <t>Random Survival Forest with multivariate longitudinal endogenous covariates. Mixed model node transformations; Aalen-Johansen estimators averaged across trees.</t>
  </si>
  <si>
    <t>Hyperparameters</t>
  </si>
  <si>
    <t>Performance Metrics</t>
  </si>
  <si>
    <t>Value</t>
  </si>
  <si>
    <t>Note</t>
  </si>
  <si>
    <t>Metric</t>
  </si>
  <si>
    <t>Target</t>
  </si>
  <si>
    <t>Result (fill when run)</t>
  </si>
  <si>
    <t>n_trees</t>
  </si>
  <si>
    <t>200</t>
  </si>
  <si>
    <t>Increase if OOB error plateaus</t>
  </si>
  <si>
    <t>Harrell's C-statistic</t>
  </si>
  <si>
    <t>≥0.70</t>
  </si>
  <si>
    <t>mtry</t>
  </si>
  <si>
    <t>√p</t>
  </si>
  <si>
    <t>p = number of predictors</t>
  </si>
  <si>
    <t>Time-dependent AUC (1yr, 5yr, 10yr)</t>
  </si>
  <si>
    <t>≥0.70 at each horizon</t>
  </si>
  <si>
    <t>min_nodesize</t>
  </si>
  <si>
    <t>20</t>
  </si>
  <si>
    <t>Minimum events per terminal node</t>
  </si>
  <si>
    <t>Integrated Brier Score</t>
  </si>
  <si>
    <t>≤0.25</t>
  </si>
  <si>
    <t>bootstrap_n</t>
  </si>
  <si>
    <t>1000</t>
  </si>
  <si>
    <t>For CI generation on probability matrices</t>
  </si>
  <si>
    <t>OOB error rate</t>
  </si>
  <si>
    <t>&lt; 0.30</t>
  </si>
  <si>
    <t>landmark_times</t>
  </si>
  <si>
    <t>1, 3, 5, 10 yr</t>
  </si>
  <si>
    <t>Prediction horizons</t>
  </si>
  <si>
    <t>M2: Dynamic-DeepHit  |  Secondary  |  Python — PyTorch  |  Ref: Lee et al. 2019 [8]</t>
  </si>
  <si>
    <t>Deep learning competing-risks model. LSTM encoder for longitudinal trajectories; cause-specific CIFs. Competing risks: progression vs tooth loss vs death.</t>
  </si>
  <si>
    <t>encoder</t>
  </si>
  <si>
    <t>LSTM (2 layers)</t>
  </si>
  <si>
    <t>Longitudinal trajectory embedding</t>
  </si>
  <si>
    <t>C-index (cause-specific)</t>
  </si>
  <si>
    <t>hidden_dim</t>
  </si>
  <si>
    <t>128</t>
  </si>
  <si>
    <t>Tune via grid search</t>
  </si>
  <si>
    <t>Brier Score (cause-specific)</t>
  </si>
  <si>
    <t>dropout</t>
  </si>
  <si>
    <t>0.2</t>
  </si>
  <si>
    <t>Regularisation</t>
  </si>
  <si>
    <t>Calibration slope</t>
  </si>
  <si>
    <t>~1.0</t>
  </si>
  <si>
    <t>loss</t>
  </si>
  <si>
    <t>Log-likelihood + ranking (α=0.1)</t>
  </si>
  <si>
    <t>α tunes discrimination vs calibration</t>
  </si>
  <si>
    <t>epochs</t>
  </si>
  <si>
    <t>500</t>
  </si>
  <si>
    <t>Early stopping on validation loss</t>
  </si>
  <si>
    <t>lr</t>
  </si>
  <si>
    <t>0.001 (Adam)</t>
  </si>
  <si>
    <t>Reduce on plateau</t>
  </si>
  <si>
    <t>M3: msm (Benchmark)  |  Comparator  |  R — msm package  |  Ref: Saag 2014 [3]</t>
  </si>
  <si>
    <t>Continuous-time multi-state Markov. Transition intensities as log-linear functions of covariates. Preserves Markov structure for downstream economic modelling.</t>
  </si>
  <si>
    <t>transition_structure</t>
  </si>
  <si>
    <t>5-state + death</t>
  </si>
  <si>
    <t>As per disease state model</t>
  </si>
  <si>
    <t>Log-likelihood</t>
  </si>
  <si>
    <t>covariate_form</t>
  </si>
  <si>
    <t>Log-linear on intensities</t>
  </si>
  <si>
    <t>exp(β·x) multiplier</t>
  </si>
  <si>
    <t>AIC / BIC</t>
  </si>
  <si>
    <t>Lower than null model</t>
  </si>
  <si>
    <t>optimiser</t>
  </si>
  <si>
    <t>BFGS</t>
  </si>
  <si>
    <t>Default msm optimiser</t>
  </si>
  <si>
    <t>Observed vs expected transitions (log-rank)</t>
  </si>
  <si>
    <t>p &gt; 0.05</t>
  </si>
  <si>
    <t>covariates</t>
  </si>
  <si>
    <t>Diabetes, smoking, age, country</t>
  </si>
  <si>
    <t>Main stratification dimensions</t>
  </si>
  <si>
    <t>Cross-Model Validation Plan</t>
  </si>
  <si>
    <t>Step</t>
  </si>
  <si>
    <t>Models</t>
  </si>
  <si>
    <t>Method</t>
  </si>
  <si>
    <t>Acceptance Criterion</t>
  </si>
  <si>
    <t>Internal CV</t>
  </si>
  <si>
    <t>M1, M2, M3</t>
  </si>
  <si>
    <t>5-fold cross-validation on synthetic population</t>
  </si>
  <si>
    <t>C-stat ≥0.70; Brier ≤0.25 in all folds</t>
  </si>
  <si>
    <t>External validation</t>
  </si>
  <si>
    <t>M1, M2</t>
  </si>
  <si>
    <t>Train on US-derived params → test on UK-derived strata</t>
  </si>
  <si>
    <t>No sig. diff. in predicted vs observed by log-rank (p&gt;0.05)</t>
  </si>
  <si>
    <t>Bootstrap CIs</t>
  </si>
  <si>
    <t>n=1000 bootstrap; 2.5th–97.5th percentile per stratum</t>
  </si>
  <si>
    <t>CIs feed PSA beta distributions for all 24/36 matrices</t>
  </si>
  <si>
    <t>Calibration</t>
  </si>
  <si>
    <t>Predicted CIF vs KM curves per stratum</t>
  </si>
  <si>
    <t>Visual inspection + Hosmer-Lemeshow p&gt;0.05</t>
  </si>
  <si>
    <t>AI vs literature comparison</t>
  </si>
  <si>
    <t>M1 vs msm vs lit. params</t>
  </si>
  <si>
    <t>Paired ICER comparison within identical Markov structure</t>
  </si>
  <si>
    <t>&gt;20% ΔICER or decision change = material difference</t>
  </si>
  <si>
    <t>Key References</t>
  </si>
  <si>
    <t>Numbered as cited in protocol v0.1</t>
  </si>
  <si>
    <t>Ref #</t>
  </si>
  <si>
    <t>Authors</t>
  </si>
  <si>
    <t>Title</t>
  </si>
  <si>
    <t>Journal</t>
  </si>
  <si>
    <t>Year</t>
  </si>
  <si>
    <t>DOI / PMCID</t>
  </si>
  <si>
    <t>Needleman I, Garcia R, Gkranias N et al.</t>
  </si>
  <si>
    <t>Mean annual attachment, bone level, and tooth loss: A systematic review</t>
  </si>
  <si>
    <t>J Periodontol</t>
  </si>
  <si>
    <t>2018</t>
  </si>
  <si>
    <t>10.1002/JPER.17-0062</t>
  </si>
  <si>
    <t>I²=99%; primary prior source</t>
  </si>
  <si>
    <t>Saag MS, Preshaw PM, de Jager M et al.</t>
  </si>
  <si>
    <t>Comparing CAL and pocket depth for predicting periodontal disease progression using multi-state Markov models</t>
  </si>
  <si>
    <t>BMC Oral Health</t>
  </si>
  <si>
    <t>2014</t>
  </si>
  <si>
    <t>PMC4139458</t>
  </si>
  <si>
    <t>Primary base-case transition intensities</t>
  </si>
  <si>
    <t>[4]</t>
  </si>
  <si>
    <t>Teles R, Moss K, Preisser JS et al.</t>
  </si>
  <si>
    <t>Patterns of periodontal disease progression based on linear mixed models of CAL</t>
  </si>
  <si>
    <t>J Clin Periodontol</t>
  </si>
  <si>
    <t>2017</t>
  </si>
  <si>
    <t>10.1111/jcpe.12827</t>
  </si>
  <si>
    <t>Motivates ML over fixed-rate Markov</t>
  </si>
  <si>
    <t>Ramseier CA, Anerud A, Dulac M et al.</t>
  </si>
  <si>
    <t>Natural history of periodontitis: Disease progression and tooth loss over 40 years</t>
  </si>
  <si>
    <t>10.1111/jcpe.12782</t>
  </si>
  <si>
    <t>q₄₅ and tooth loss OR source</t>
  </si>
  <si>
    <t>[6]</t>
  </si>
  <si>
    <t>Haug M, Oja M, Pajusalu M et al.</t>
  </si>
  <si>
    <t>Markov modeling for cost-effectiveness using federated health data network</t>
  </si>
  <si>
    <t>JAMIA</t>
  </si>
  <si>
    <t>2024</t>
  </si>
  <si>
    <t>10.1093/jamia/ocae044</t>
  </si>
  <si>
    <t>International Markov validation precedent</t>
  </si>
  <si>
    <t>[7]</t>
  </si>
  <si>
    <t>Devaux A, Helmer C, Genuer R, Proust-Lima C</t>
  </si>
  <si>
    <t>Random survival forests with multivariate longitudinal endogenous covariates</t>
  </si>
  <si>
    <t>Stat Methods Med Res</t>
  </si>
  <si>
    <t>2023</t>
  </si>
  <si>
    <t>10.1177/09622802231206477</t>
  </si>
  <si>
    <t>DynForest — M1 primary method</t>
  </si>
  <si>
    <t>[8]</t>
  </si>
  <si>
    <t>Lee C, Yoon J, van der Schaar M</t>
  </si>
  <si>
    <t>Dynamic-DeepHit: A Deep Learning Approach for Dynamic Survival Analysis with Competing Risks</t>
  </si>
  <si>
    <t>IEEE Trans Biomed Eng</t>
  </si>
  <si>
    <t>2019</t>
  </si>
  <si>
    <t>10.1109/TBME.2019.2909027</t>
  </si>
  <si>
    <t>M2 secondary method</t>
  </si>
  <si>
    <t>[10]</t>
  </si>
  <si>
    <t>Keane P et al.</t>
  </si>
  <si>
    <t>Health economic simulation modeling of an AI-enabled clinical decision support system for coronary revascularization</t>
  </si>
  <si>
    <t>npj Digital Medicine</t>
  </si>
  <si>
    <t>2026</t>
  </si>
  <si>
    <t>10.1038/s41746-026-02430-x</t>
  </si>
  <si>
    <t>AI-informed HE simulation precedent</t>
  </si>
  <si>
    <t>[11]</t>
  </si>
  <si>
    <t>Broadbent JM, Thomson WM et al.</t>
  </si>
  <si>
    <t>The Dunedin Multidisciplinary Health and Development Study: Oral health findings</t>
  </si>
  <si>
    <t>NZ Dent J</t>
  </si>
  <si>
    <t>2020</t>
  </si>
  <si>
    <t>PMC7100605</t>
  </si>
  <si>
    <t>DMHDS — life-course trajectories</t>
  </si>
  <si>
    <t>[12]</t>
  </si>
  <si>
    <t>Langenberger B, Schulte T, Groene O</t>
  </si>
  <si>
    <t>The application of machine learning to predict high-cost patients</t>
  </si>
  <si>
    <t>PLOS ONE</t>
  </si>
  <si>
    <t>10.1371/journal.pone.0279540</t>
  </si>
  <si>
    <t>ML risk scoring precedent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</si>
</sst>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"/>
    <numFmt numFmtId="166" formatCode="m/d/yyyy"/>
  </numFmts>
  <fonts count="51" x14ac:knownFonts="1">
    <font>
      <sz val="11"/>
      <color theme="1"/>
      <name val="Calibri"/>
      <family val="2"/>
      <charset val="1"/>
    </font>
    <font>
      <b/>
      <sz val="14"/>
      <color rgb="FFFFFFFF"/>
      <name val="Calibri"/>
      <family val="2"/>
      <charset val="1"/>
    </font>
    <font>
      <i/>
      <sz val="10"/>
      <color rgb="FF1A3A5C"/>
      <name val="Calibri"/>
      <family val="2"/>
      <charset val="1"/>
    </font>
    <font>
      <i/>
      <sz val="10"/>
      <color rgb="FF7C5800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333333"/>
      <name val="Calibri"/>
      <family val="2"/>
      <charset val="1"/>
    </font>
    <font>
      <b/>
      <sz val="10"/>
      <color rgb="FF2D6A9F"/>
      <name val="Calibri"/>
      <family val="2"/>
      <charset val="1"/>
    </font>
    <font>
      <b/>
      <sz val="10"/>
      <color rgb="FF1A3A5C"/>
      <name val="Calibri"/>
      <family val="2"/>
      <charset val="1"/>
    </font>
    <font>
      <b/>
      <sz val="10"/>
      <color rgb="FF059669"/>
      <name val="Calibri"/>
      <family val="2"/>
      <charset val="1"/>
    </font>
    <font>
      <b/>
      <sz val="10"/>
      <color rgb="FF7C3AED"/>
      <name val="Calibri"/>
      <family val="2"/>
      <charset val="1"/>
    </font>
    <font>
      <b/>
      <sz val="10"/>
      <color rgb="FFD97706"/>
      <name val="Calibri"/>
      <family val="2"/>
      <charset val="1"/>
    </font>
    <font>
      <b/>
      <sz val="10"/>
      <color rgb="FFDC2626"/>
      <name val="Calibri"/>
      <family val="2"/>
      <charset val="1"/>
    </font>
    <font>
      <b/>
      <sz val="11"/>
      <color rgb="FFFFFFFF"/>
      <name val="Calibri"/>
      <family val="2"/>
      <charset val="1"/>
    </font>
    <font>
      <i/>
      <sz val="9"/>
      <color rgb="FF7C5800"/>
      <name val="Calibri"/>
      <family val="2"/>
      <charset val="1"/>
    </font>
    <font>
      <sz val="10"/>
      <color rgb="FF777777"/>
      <name val="Calibri"/>
      <family val="2"/>
      <charset val="1"/>
    </font>
    <font>
      <sz val="8"/>
      <color theme="1"/>
      <name val="Calibri"/>
      <family val="2"/>
      <charset val="1"/>
    </font>
    <font>
      <b/>
      <sz val="10"/>
      <color rgb="FF888888"/>
      <name val="Calibri"/>
      <family val="2"/>
      <charset val="1"/>
    </font>
    <font>
      <sz val="10"/>
      <color rgb="FF555555"/>
      <name val="Calibri"/>
      <family val="2"/>
      <charset val="1"/>
    </font>
    <font>
      <b/>
      <sz val="9"/>
      <color rgb="FF1A3A5C"/>
      <name val="Courier New"/>
      <family val="3"/>
      <charset val="1"/>
    </font>
    <font>
      <i/>
      <sz val="10"/>
      <color rgb="FFDC2626"/>
      <name val="Calibri"/>
      <family val="2"/>
      <charset val="1"/>
    </font>
    <font>
      <i/>
      <sz val="10"/>
      <color rgb="FF2D6A9F"/>
      <name val="Calibri"/>
      <family val="2"/>
      <charset val="1"/>
    </font>
    <font>
      <i/>
      <sz val="10"/>
      <color rgb="FF059669"/>
      <name val="Calibri"/>
      <family val="2"/>
      <charset val="1"/>
    </font>
    <font>
      <i/>
      <sz val="10"/>
      <color rgb="FFD97706"/>
      <name val="Calibri"/>
      <family val="2"/>
      <charset val="1"/>
    </font>
    <font>
      <i/>
      <sz val="9"/>
      <color rgb="FF555555"/>
      <name val="Calibri"/>
      <family val="2"/>
      <charset val="1"/>
    </font>
    <font>
      <i/>
      <sz val="10"/>
      <color rgb="FF7C3AED"/>
      <name val="Calibri"/>
      <family val="2"/>
      <charset val="1"/>
    </font>
    <font>
      <b/>
      <sz val="10"/>
      <color theme="0"/>
      <name val="Calibri"/>
      <family val="2"/>
      <charset val="1"/>
    </font>
    <font>
      <i/>
      <sz val="10"/>
      <color rgb="FF374151"/>
      <name val="Calibri"/>
      <family val="2"/>
      <charset val="1"/>
    </font>
    <font>
      <b/>
      <sz val="9"/>
      <color rgb="FF059669"/>
      <name val="Calibri"/>
      <family val="2"/>
      <charset val="1"/>
    </font>
    <font>
      <i/>
      <sz val="9"/>
      <color theme="0"/>
      <name val="Calibri"/>
      <family val="2"/>
      <charset val="1"/>
    </font>
    <font>
      <sz val="10"/>
      <color theme="1"/>
      <name val="Calibri"/>
      <family val="2"/>
      <charset val="1"/>
    </font>
    <font>
      <sz val="9"/>
      <name val="Calibri"/>
      <family val="2"/>
      <charset val="1"/>
    </font>
    <font>
      <sz val="10"/>
      <name val="Calibri"/>
      <family val="2"/>
      <charset val="1"/>
    </font>
    <font>
      <sz val="11"/>
      <color theme="0"/>
      <name val="Calibri"/>
      <family val="2"/>
      <charset val="1"/>
    </font>
    <font>
      <b/>
      <sz val="10"/>
      <color rgb="FFEA580C"/>
      <name val="Calibri"/>
      <family val="2"/>
      <charset val="1"/>
    </font>
    <font>
      <b/>
      <sz val="10"/>
      <color rgb="FF374151"/>
      <name val="Calibri"/>
      <family val="2"/>
      <charset val="1"/>
    </font>
    <font>
      <b/>
      <sz val="12"/>
      <color rgb="FF1A3A5C"/>
      <name val="Calibri"/>
      <family val="2"/>
      <charset val="1"/>
    </font>
    <font>
      <i/>
      <sz val="9"/>
      <color rgb="FF999999"/>
      <name val="Calibri"/>
      <family val="2"/>
      <charset val="1"/>
    </font>
    <font>
      <sz val="10"/>
      <color rgb="FFCCCCCC"/>
      <name val="Calibri"/>
      <family val="2"/>
      <charset val="1"/>
    </font>
    <font>
      <b/>
      <sz val="11"/>
      <color rgb="FF2F5496"/>
      <name val="Calibri"/>
      <family val="2"/>
      <charset val="1"/>
    </font>
    <font>
      <i/>
      <sz val="9"/>
      <name val="Calibri"/>
      <family val="2"/>
      <charset val="1"/>
    </font>
    <font>
      <b/>
      <sz val="10"/>
      <name val="Calibri"/>
      <family val="2"/>
      <charset val="1"/>
    </font>
    <font>
      <sz val="10"/>
      <name val="Courier New"/>
      <family val="3"/>
      <charset val="1"/>
    </font>
    <font>
      <b/>
      <sz val="14"/>
      <color rgb="FF2F5496"/>
      <name val="Calibri"/>
      <family val="2"/>
      <charset val="1"/>
    </font>
    <font>
      <b/>
      <sz val="12"/>
      <color rgb="FFFFFFFF"/>
      <name val="Calibri"/>
      <family val="2"/>
      <charset val="1"/>
    </font>
    <font>
      <i/>
      <sz val="10"/>
      <name val="Calibri"/>
      <family val="2"/>
      <charset val="1"/>
    </font>
    <font>
      <b/>
      <sz val="10"/>
      <color rgb="FFD46B08"/>
      <name val="Calibri"/>
      <family val="2"/>
      <charset val="1"/>
    </font>
    <font>
      <i/>
      <sz val="10"/>
      <color rgb="FFBBBBBB"/>
      <name val="Calibri"/>
      <family val="2"/>
      <charset val="1"/>
    </font>
    <font>
      <b/>
      <sz val="10"/>
      <color rgb="FFCC0000"/>
      <name val="Calibri"/>
      <family val="2"/>
      <charset val="1"/>
    </font>
    <font>
      <b/>
      <sz val="10"/>
      <color rgb="FFCF1322"/>
      <name val="Calibri"/>
      <family val="2"/>
      <charset val="1"/>
    </font>
    <font>
      <b/>
      <sz val="12"/>
      <color rgb="FF2F5496"/>
      <name val="Calibri"/>
      <family val="2"/>
      <charset val="1"/>
    </font>
    <font>
      <i/>
      <sz val="10"/>
      <color rgb="FF333333"/>
      <name val="Calibri"/>
      <family val="2"/>
      <charset val="1"/>
    </font>
  </fonts>
  <fills count="46">
    <fill>
      <patternFill patternType="none"/>
    </fill>
    <fill>
      <patternFill patternType="gray125"/>
    </fill>
    <fill>
      <patternFill patternType="solid">
        <fgColor rgb="FF1A3A5C"/>
        <bgColor rgb="FF374151"/>
      </patternFill>
    </fill>
    <fill>
      <patternFill patternType="solid">
        <fgColor rgb="FFEEF2F8"/>
        <bgColor rgb="FFF0F0F0"/>
      </patternFill>
    </fill>
    <fill>
      <patternFill patternType="solid">
        <fgColor rgb="FFFFFBE6"/>
        <bgColor rgb="FFFFF7E6"/>
      </patternFill>
    </fill>
    <fill>
      <patternFill patternType="solid">
        <fgColor rgb="FFFFFFFF"/>
        <bgColor rgb="FFF9FAFC"/>
      </patternFill>
    </fill>
    <fill>
      <patternFill patternType="solid">
        <fgColor rgb="FF6A9F33"/>
        <bgColor rgb="FF6A9F22"/>
      </patternFill>
    </fill>
    <fill>
      <patternFill patternType="solid">
        <fgColor rgb="FFF6FFED"/>
        <bgColor rgb="FFFFFBE6"/>
      </patternFill>
    </fill>
    <fill>
      <patternFill patternType="solid">
        <fgColor rgb="FFF9FAFC"/>
        <bgColor rgb="FFF5F5F5"/>
      </patternFill>
    </fill>
    <fill>
      <patternFill patternType="solid">
        <fgColor rgb="FFFF0000"/>
        <bgColor rgb="FFCC0000"/>
      </patternFill>
    </fill>
    <fill>
      <patternFill patternType="solid">
        <fgColor rgb="FF3A5C33"/>
        <bgColor rgb="FF3A5C22"/>
      </patternFill>
    </fill>
    <fill>
      <patternFill patternType="solid">
        <fgColor rgb="FFFFC000"/>
        <bgColor rgb="FFFFFF00"/>
      </patternFill>
    </fill>
    <fill>
      <patternFill patternType="solid">
        <fgColor rgb="FF966933"/>
        <bgColor rgb="FF966922"/>
      </patternFill>
    </fill>
    <fill>
      <patternFill patternType="solid">
        <fgColor rgb="FFFFFF00"/>
        <bgColor rgb="FFFFC000"/>
      </patternFill>
    </fill>
    <fill>
      <patternFill patternType="solid">
        <fgColor rgb="FF3AED33"/>
        <bgColor rgb="FF3AED22"/>
      </patternFill>
    </fill>
    <fill>
      <patternFill patternType="solid">
        <fgColor rgb="FFFFF7E6"/>
        <bgColor rgb="FFFFFBE6"/>
      </patternFill>
    </fill>
    <fill>
      <patternFill patternType="solid">
        <fgColor rgb="FF770633"/>
        <bgColor rgb="FF770622"/>
      </patternFill>
    </fill>
    <fill>
      <patternFill patternType="solid">
        <fgColor rgb="FF262633"/>
        <bgColor rgb="FF262622"/>
      </patternFill>
    </fill>
    <fill>
      <patternFill patternType="solid">
        <fgColor rgb="FF3A5C22"/>
        <bgColor rgb="FF3A5C33"/>
      </patternFill>
    </fill>
    <fill>
      <patternFill patternType="solid">
        <fgColor rgb="FFF5F5F5"/>
        <bgColor rgb="FFEEF2F8"/>
      </patternFill>
    </fill>
    <fill>
      <patternFill patternType="solid">
        <fgColor rgb="FFDC2626"/>
        <bgColor rgb="FFCF1322"/>
      </patternFill>
    </fill>
    <fill>
      <patternFill patternType="solid">
        <fgColor rgb="FF262622"/>
        <bgColor rgb="FF262633"/>
      </patternFill>
    </fill>
    <fill>
      <patternFill patternType="solid">
        <fgColor rgb="FF2D679E"/>
        <bgColor rgb="FF2D6A9F"/>
      </patternFill>
    </fill>
    <fill>
      <patternFill patternType="solid">
        <fgColor rgb="FF6A9F22"/>
        <bgColor rgb="FF6A9F33"/>
      </patternFill>
    </fill>
    <fill>
      <patternFill patternType="solid">
        <fgColor rgb="FF059669"/>
        <bgColor rgb="FF15803D"/>
      </patternFill>
    </fill>
    <fill>
      <patternFill patternType="solid">
        <fgColor rgb="FF966922"/>
        <bgColor rgb="FF966933"/>
      </patternFill>
    </fill>
    <fill>
      <patternFill patternType="solid">
        <fgColor rgb="FFD97706"/>
        <bgColor rgb="FFD46B08"/>
      </patternFill>
    </fill>
    <fill>
      <patternFill patternType="solid">
        <fgColor rgb="FF770622"/>
        <bgColor rgb="FF770633"/>
      </patternFill>
    </fill>
    <fill>
      <patternFill patternType="solid">
        <fgColor rgb="FF7C3AED"/>
        <bgColor rgb="FF9333EA"/>
      </patternFill>
    </fill>
    <fill>
      <patternFill patternType="solid">
        <fgColor rgb="FF3AED22"/>
        <bgColor rgb="FF3AED33"/>
      </patternFill>
    </fill>
    <fill>
      <patternFill patternType="solid">
        <fgColor rgb="FF374151"/>
        <bgColor rgb="FF333333"/>
      </patternFill>
    </fill>
    <fill>
      <patternFill patternType="solid">
        <fgColor rgb="FF415122"/>
        <bgColor rgb="FF3A5C22"/>
      </patternFill>
    </fill>
    <fill>
      <patternFill patternType="solid">
        <fgColor rgb="FF0E7490"/>
        <bgColor rgb="FF0F766E"/>
      </patternFill>
    </fill>
    <fill>
      <patternFill patternType="solid">
        <fgColor rgb="FF9333EA"/>
        <bgColor rgb="FF7C3AED"/>
      </patternFill>
    </fill>
    <fill>
      <patternFill patternType="solid">
        <fgColor rgb="FF0369A1"/>
        <bgColor rgb="FF0E7490"/>
      </patternFill>
    </fill>
    <fill>
      <patternFill patternType="solid">
        <fgColor rgb="FF15803D"/>
        <bgColor rgb="FF0F766E"/>
      </patternFill>
    </fill>
    <fill>
      <patternFill patternType="solid">
        <fgColor rgb="FFB45309"/>
        <bgColor rgb="FF966922"/>
      </patternFill>
    </fill>
    <fill>
      <patternFill patternType="solid">
        <fgColor rgb="FF6D28D9"/>
        <bgColor rgb="FF7C3AED"/>
      </patternFill>
    </fill>
    <fill>
      <patternFill patternType="solid">
        <fgColor rgb="FF0F766E"/>
        <bgColor rgb="FF0E7490"/>
      </patternFill>
    </fill>
    <fill>
      <patternFill patternType="solid">
        <fgColor rgb="FFEA580C"/>
        <bgColor rgb="FFD46B08"/>
      </patternFill>
    </fill>
    <fill>
      <patternFill patternType="solid">
        <fgColor rgb="FFF0F0F0"/>
        <bgColor rgb="FFEEF2F8"/>
      </patternFill>
    </fill>
    <fill>
      <patternFill patternType="solid">
        <fgColor rgb="FFFEF3C7"/>
        <bgColor rgb="FFFFF7E6"/>
      </patternFill>
    </fill>
    <fill>
      <patternFill patternType="solid">
        <fgColor rgb="FFDCFCE7"/>
        <bgColor rgb="FFEEF2F8"/>
      </patternFill>
    </fill>
    <fill>
      <patternFill patternType="solid">
        <fgColor rgb="FFD6E4F0"/>
        <bgColor rgb="FFDDDDDD"/>
      </patternFill>
    </fill>
    <fill>
      <patternFill patternType="solid">
        <fgColor rgb="FFFFF1F0"/>
        <bgColor rgb="FFFFF7E6"/>
      </patternFill>
    </fill>
    <fill>
      <patternFill patternType="solid">
        <fgColor rgb="FF2F5496"/>
        <bgColor rgb="FF2D679E"/>
      </patternFill>
    </fill>
  </fills>
  <borders count="6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/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/>
      <top style="thin">
        <color rgb="FFDDDDDD"/>
      </top>
      <bottom style="thin">
        <color rgb="FFDDDDDD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11">
    <xf numFmtId="0" fontId="0" fillId="0" borderId="0" xfId="0"/>
    <xf numFmtId="0" fontId="4" fillId="2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2" fontId="5" fillId="5" borderId="1" xfId="0" applyNumberFormat="1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 wrapText="1"/>
    </xf>
    <xf numFmtId="0" fontId="7" fillId="10" borderId="1" xfId="0" applyFont="1" applyFill="1" applyBorder="1" applyAlignment="1">
      <alignment horizontal="left" vertical="center" wrapText="1"/>
    </xf>
    <xf numFmtId="0" fontId="5" fillId="11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left" vertical="center" wrapText="1"/>
    </xf>
    <xf numFmtId="0" fontId="5" fillId="13" borderId="1" xfId="0" applyFont="1" applyFill="1" applyBorder="1" applyAlignment="1">
      <alignment horizontal="left" vertical="center" wrapText="1"/>
    </xf>
    <xf numFmtId="0" fontId="9" fillId="14" borderId="1" xfId="0" applyFont="1" applyFill="1" applyBorder="1" applyAlignment="1">
      <alignment horizontal="left" vertical="center" wrapText="1"/>
    </xf>
    <xf numFmtId="0" fontId="5" fillId="15" borderId="1" xfId="0" applyFont="1" applyFill="1" applyBorder="1" applyAlignment="1">
      <alignment horizontal="left" vertical="center" wrapText="1"/>
    </xf>
    <xf numFmtId="0" fontId="10" fillId="16" borderId="1" xfId="0" applyFont="1" applyFill="1" applyBorder="1" applyAlignment="1">
      <alignment horizontal="left" vertical="center" wrapText="1"/>
    </xf>
    <xf numFmtId="0" fontId="11" fillId="17" borderId="1" xfId="0" applyFont="1" applyFill="1" applyBorder="1" applyAlignment="1">
      <alignment horizontal="left" vertical="center" wrapText="1"/>
    </xf>
    <xf numFmtId="1" fontId="5" fillId="5" borderId="1" xfId="0" applyNumberFormat="1" applyFont="1" applyFill="1" applyBorder="1" applyAlignment="1">
      <alignment horizontal="left" vertical="center" wrapText="1"/>
    </xf>
    <xf numFmtId="1" fontId="5" fillId="8" borderId="1" xfId="0" applyNumberFormat="1" applyFont="1" applyFill="1" applyBorder="1" applyAlignment="1">
      <alignment horizontal="left" vertical="center" wrapText="1"/>
    </xf>
    <xf numFmtId="164" fontId="5" fillId="5" borderId="1" xfId="0" applyNumberFormat="1" applyFont="1" applyFill="1" applyBorder="1" applyAlignment="1">
      <alignment horizontal="left" vertical="center" wrapText="1"/>
    </xf>
    <xf numFmtId="0" fontId="5" fillId="11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horizontal="left" vertical="center" wrapText="1"/>
    </xf>
    <xf numFmtId="0" fontId="11" fillId="17" borderId="0" xfId="0" applyFont="1" applyFill="1" applyAlignment="1">
      <alignment horizontal="left" vertical="center" wrapText="1"/>
    </xf>
    <xf numFmtId="1" fontId="5" fillId="8" borderId="0" xfId="0" applyNumberFormat="1" applyFont="1" applyFill="1" applyAlignment="1">
      <alignment horizontal="left" vertical="center" wrapText="1"/>
    </xf>
    <xf numFmtId="2" fontId="5" fillId="5" borderId="0" xfId="0" applyNumberFormat="1" applyFont="1" applyFill="1" applyAlignment="1">
      <alignment horizontal="left" vertical="center" wrapText="1"/>
    </xf>
    <xf numFmtId="164" fontId="5" fillId="5" borderId="0" xfId="0" applyNumberFormat="1" applyFont="1" applyFill="1" applyAlignment="1">
      <alignment horizontal="left" vertical="center" wrapText="1"/>
    </xf>
    <xf numFmtId="0" fontId="5" fillId="15" borderId="0" xfId="0" applyFont="1" applyFill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14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2" fontId="0" fillId="5" borderId="1" xfId="0" applyNumberFormat="1" applyFill="1" applyBorder="1" applyAlignment="1">
      <alignment horizontal="left" vertical="center" wrapText="1"/>
    </xf>
    <xf numFmtId="0" fontId="16" fillId="19" borderId="1" xfId="0" applyFont="1" applyFill="1" applyBorder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17" fillId="5" borderId="1" xfId="0" applyFont="1" applyFill="1" applyBorder="1" applyAlignment="1">
      <alignment horizontal="left" vertical="center" wrapText="1"/>
    </xf>
    <xf numFmtId="0" fontId="18" fillId="5" borderId="1" xfId="0" applyFont="1" applyFill="1" applyBorder="1" applyAlignment="1">
      <alignment horizontal="left" vertical="center" wrapText="1"/>
    </xf>
    <xf numFmtId="0" fontId="17" fillId="8" borderId="1" xfId="0" applyFont="1" applyFill="1" applyBorder="1" applyAlignment="1">
      <alignment horizontal="left" vertical="center" wrapText="1"/>
    </xf>
    <xf numFmtId="0" fontId="18" fillId="8" borderId="1" xfId="0" applyFont="1" applyFill="1" applyBorder="1" applyAlignment="1">
      <alignment horizontal="left" vertical="center" wrapText="1"/>
    </xf>
    <xf numFmtId="0" fontId="14" fillId="8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vertical="center" wrapText="1"/>
    </xf>
    <xf numFmtId="0" fontId="0" fillId="0" borderId="3" xfId="0" applyBorder="1"/>
    <xf numFmtId="0" fontId="18" fillId="5" borderId="1" xfId="0" applyFont="1" applyFill="1" applyBorder="1" applyAlignment="1">
      <alignment vertical="center" wrapText="1"/>
    </xf>
    <xf numFmtId="0" fontId="0" fillId="0" borderId="4" xfId="0" applyBorder="1"/>
    <xf numFmtId="164" fontId="0" fillId="5" borderId="1" xfId="0" applyNumberFormat="1" applyFill="1" applyBorder="1" applyAlignment="1">
      <alignment horizontal="left" vertical="center" wrapText="1"/>
    </xf>
    <xf numFmtId="165" fontId="0" fillId="5" borderId="1" xfId="0" applyNumberFormat="1" applyFill="1" applyBorder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166" fontId="16" fillId="19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29" fillId="5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vertical="top" wrapText="1"/>
    </xf>
    <xf numFmtId="0" fontId="4" fillId="32" borderId="0" xfId="0" applyFont="1" applyFill="1" applyAlignment="1">
      <alignment vertical="center" wrapText="1"/>
    </xf>
    <xf numFmtId="0" fontId="31" fillId="0" borderId="0" xfId="0" applyFont="1" applyAlignment="1">
      <alignment vertical="top" wrapText="1"/>
    </xf>
    <xf numFmtId="0" fontId="32" fillId="33" borderId="0" xfId="0" applyFont="1" applyFill="1" applyAlignment="1">
      <alignment vertical="center"/>
    </xf>
    <xf numFmtId="0" fontId="0" fillId="33" borderId="0" xfId="0" applyFill="1" applyAlignment="1">
      <alignment vertical="center"/>
    </xf>
    <xf numFmtId="0" fontId="4" fillId="33" borderId="0" xfId="0" applyFont="1" applyFill="1" applyAlignment="1">
      <alignment vertical="center" wrapText="1"/>
    </xf>
    <xf numFmtId="0" fontId="4" fillId="34" borderId="0" xfId="0" applyFont="1" applyFill="1" applyAlignment="1">
      <alignment vertical="center" wrapText="1"/>
    </xf>
    <xf numFmtId="0" fontId="32" fillId="34" borderId="0" xfId="0" applyFont="1" applyFill="1" applyAlignment="1">
      <alignment horizontal="left" vertical="center"/>
    </xf>
    <xf numFmtId="0" fontId="32" fillId="34" borderId="0" xfId="0" applyFont="1" applyFill="1" applyAlignment="1">
      <alignment horizontal="left" vertical="center" wrapText="1"/>
    </xf>
    <xf numFmtId="0" fontId="25" fillId="34" borderId="0" xfId="0" applyFont="1" applyFill="1" applyAlignment="1">
      <alignment horizontal="left" vertical="center" wrapText="1"/>
    </xf>
    <xf numFmtId="0" fontId="0" fillId="35" borderId="0" xfId="0" applyFill="1"/>
    <xf numFmtId="0" fontId="4" fillId="35" borderId="0" xfId="0" applyFont="1" applyFill="1" applyAlignment="1">
      <alignment vertical="center" wrapText="1"/>
    </xf>
    <xf numFmtId="0" fontId="32" fillId="35" borderId="0" xfId="0" applyFont="1" applyFill="1" applyAlignment="1">
      <alignment horizontal="left" vertical="center"/>
    </xf>
    <xf numFmtId="0" fontId="32" fillId="35" borderId="0" xfId="0" applyFont="1" applyFill="1" applyAlignment="1">
      <alignment horizontal="left" vertical="center" wrapText="1"/>
    </xf>
    <xf numFmtId="0" fontId="25" fillId="35" borderId="0" xfId="0" applyFont="1" applyFill="1" applyAlignment="1">
      <alignment horizontal="left" vertical="center" wrapText="1"/>
    </xf>
    <xf numFmtId="0" fontId="0" fillId="36" borderId="0" xfId="0" applyFill="1"/>
    <xf numFmtId="0" fontId="4" fillId="36" borderId="0" xfId="0" applyFont="1" applyFill="1" applyAlignment="1">
      <alignment vertical="center" wrapText="1"/>
    </xf>
    <xf numFmtId="0" fontId="0" fillId="36" borderId="0" xfId="0" applyFill="1" applyAlignment="1">
      <alignment wrapText="1"/>
    </xf>
    <xf numFmtId="0" fontId="0" fillId="37" borderId="0" xfId="0" applyFill="1"/>
    <xf numFmtId="0" fontId="4" fillId="37" borderId="0" xfId="0" applyFont="1" applyFill="1" applyAlignment="1">
      <alignment vertical="center" wrapText="1"/>
    </xf>
    <xf numFmtId="0" fontId="4" fillId="38" borderId="0" xfId="0" applyFont="1" applyFill="1" applyAlignment="1">
      <alignment vertical="center" wrapText="1"/>
    </xf>
    <xf numFmtId="0" fontId="4" fillId="24" borderId="1" xfId="0" applyFont="1" applyFill="1" applyBorder="1" applyAlignment="1">
      <alignment horizontal="left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4" fillId="26" borderId="1" xfId="0" applyFont="1" applyFill="1" applyBorder="1" applyAlignment="1">
      <alignment horizontal="left" vertical="center" wrapText="1"/>
    </xf>
    <xf numFmtId="0" fontId="10" fillId="8" borderId="1" xfId="0" applyFont="1" applyFill="1" applyBorder="1" applyAlignment="1">
      <alignment horizontal="left" vertical="center" wrapText="1"/>
    </xf>
    <xf numFmtId="0" fontId="4" fillId="39" borderId="1" xfId="0" applyFont="1" applyFill="1" applyBorder="1" applyAlignment="1">
      <alignment horizontal="left" vertical="center" wrapText="1"/>
    </xf>
    <xf numFmtId="0" fontId="33" fillId="5" borderId="1" xfId="0" applyFont="1" applyFill="1" applyBorder="1" applyAlignment="1">
      <alignment horizontal="left" vertical="center" wrapText="1"/>
    </xf>
    <xf numFmtId="0" fontId="4" fillId="20" borderId="1" xfId="0" applyFont="1" applyFill="1" applyBorder="1" applyAlignment="1">
      <alignment horizontal="left" vertical="center" wrapText="1"/>
    </xf>
    <xf numFmtId="0" fontId="11" fillId="8" borderId="1" xfId="0" applyFont="1" applyFill="1" applyBorder="1" applyAlignment="1">
      <alignment horizontal="left" vertical="center" wrapText="1"/>
    </xf>
    <xf numFmtId="0" fontId="4" fillId="28" borderId="1" xfId="0" applyFont="1" applyFill="1" applyBorder="1" applyAlignment="1">
      <alignment horizontal="left" vertical="center" wrapText="1"/>
    </xf>
    <xf numFmtId="0" fontId="9" fillId="5" borderId="1" xfId="0" applyFont="1" applyFill="1" applyBorder="1" applyAlignment="1">
      <alignment horizontal="left" vertical="center" wrapText="1"/>
    </xf>
    <xf numFmtId="0" fontId="4" fillId="30" borderId="1" xfId="0" applyFont="1" applyFill="1" applyBorder="1" applyAlignment="1">
      <alignment horizontal="left" vertical="center" wrapText="1"/>
    </xf>
    <xf numFmtId="0" fontId="34" fillId="8" borderId="1" xfId="0" applyFont="1" applyFill="1" applyBorder="1" applyAlignment="1">
      <alignment horizontal="left" vertical="center" wrapText="1"/>
    </xf>
    <xf numFmtId="0" fontId="4" fillId="2" borderId="0" xfId="0" applyFont="1" applyFill="1" applyAlignment="1">
      <alignment horizontal="center" vertical="center" wrapText="1"/>
    </xf>
    <xf numFmtId="0" fontId="4" fillId="26" borderId="0" xfId="0" applyFont="1" applyFill="1" applyAlignment="1">
      <alignment horizontal="center" vertical="center" wrapText="1"/>
    </xf>
    <xf numFmtId="0" fontId="4" fillId="39" borderId="0" xfId="0" applyFont="1" applyFill="1" applyAlignment="1">
      <alignment horizontal="center" vertical="center" wrapText="1"/>
    </xf>
    <xf numFmtId="0" fontId="4" fillId="20" borderId="0" xfId="0" applyFont="1" applyFill="1" applyAlignment="1">
      <alignment horizontal="center" vertical="center" wrapText="1"/>
    </xf>
    <xf numFmtId="0" fontId="4" fillId="28" borderId="0" xfId="0" applyFont="1" applyFill="1" applyAlignment="1">
      <alignment horizontal="center" vertical="center" wrapText="1"/>
    </xf>
    <xf numFmtId="0" fontId="36" fillId="40" borderId="1" xfId="0" applyFont="1" applyFill="1" applyBorder="1" applyAlignment="1">
      <alignment horizontal="center" vertical="center" wrapText="1"/>
    </xf>
    <xf numFmtId="0" fontId="7" fillId="41" borderId="1" xfId="0" applyFont="1" applyFill="1" applyBorder="1" applyAlignment="1">
      <alignment horizontal="center" vertical="center" wrapText="1"/>
    </xf>
    <xf numFmtId="0" fontId="37" fillId="8" borderId="1" xfId="0" applyFont="1" applyFill="1" applyBorder="1" applyAlignment="1">
      <alignment horizontal="center" vertical="center" wrapText="1"/>
    </xf>
    <xf numFmtId="0" fontId="7" fillId="42" borderId="1" xfId="0" applyFont="1" applyFill="1" applyBorder="1" applyAlignment="1">
      <alignment horizontal="center" vertical="center" wrapText="1"/>
    </xf>
    <xf numFmtId="0" fontId="31" fillId="0" borderId="1" xfId="0" applyFont="1" applyBorder="1" applyAlignment="1">
      <alignment horizontal="center" vertical="center" wrapText="1"/>
    </xf>
    <xf numFmtId="0" fontId="38" fillId="0" borderId="0" xfId="0" applyFont="1"/>
    <xf numFmtId="0" fontId="39" fillId="0" borderId="0" xfId="0" applyFont="1"/>
    <xf numFmtId="0" fontId="40" fillId="43" borderId="0" xfId="0" applyFont="1" applyFill="1" applyAlignment="1">
      <alignment vertical="top" wrapText="1"/>
    </xf>
    <xf numFmtId="0" fontId="30" fillId="0" borderId="0" xfId="0" applyFont="1" applyAlignment="1">
      <alignment vertical="top" wrapText="1"/>
    </xf>
    <xf numFmtId="0" fontId="8" fillId="7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41" fillId="5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41" fillId="8" borderId="1" xfId="0" applyFont="1" applyFill="1" applyBorder="1" applyAlignment="1">
      <alignment horizontal="center" vertical="center" wrapText="1"/>
    </xf>
    <xf numFmtId="0" fontId="10" fillId="15" borderId="1" xfId="0" applyFont="1" applyFill="1" applyBorder="1" applyAlignment="1">
      <alignment horizontal="center" vertical="center" wrapText="1"/>
    </xf>
    <xf numFmtId="0" fontId="11" fillId="44" borderId="1" xfId="0" applyFont="1" applyFill="1" applyBorder="1" applyAlignment="1">
      <alignment horizontal="left" vertical="center" wrapText="1"/>
    </xf>
    <xf numFmtId="0" fontId="11" fillId="44" borderId="1" xfId="0" applyFont="1" applyFill="1" applyBorder="1" applyAlignment="1">
      <alignment horizontal="center" vertical="center" wrapText="1"/>
    </xf>
    <xf numFmtId="0" fontId="43" fillId="45" borderId="1" xfId="0" applyFont="1" applyFill="1" applyBorder="1" applyAlignment="1">
      <alignment horizontal="center" vertical="center" wrapText="1"/>
    </xf>
    <xf numFmtId="0" fontId="4" fillId="45" borderId="1" xfId="0" applyFont="1" applyFill="1" applyBorder="1" applyAlignment="1">
      <alignment horizontal="center" vertical="center" wrapText="1"/>
    </xf>
    <xf numFmtId="0" fontId="0" fillId="45" borderId="0" xfId="0" applyFill="1"/>
    <xf numFmtId="0" fontId="44" fillId="5" borderId="1" xfId="0" applyFont="1" applyFill="1" applyBorder="1" applyAlignment="1">
      <alignment vertical="top" wrapText="1"/>
    </xf>
    <xf numFmtId="0" fontId="45" fillId="15" borderId="1" xfId="0" applyFont="1" applyFill="1" applyBorder="1"/>
    <xf numFmtId="0" fontId="12" fillId="45" borderId="5" xfId="0" applyFont="1" applyFill="1" applyBorder="1" applyAlignment="1">
      <alignment vertical="top" wrapText="1"/>
    </xf>
    <xf numFmtId="0" fontId="31" fillId="8" borderId="5" xfId="0" applyFont="1" applyFill="1" applyBorder="1" applyAlignment="1">
      <alignment vertical="top" wrapText="1"/>
    </xf>
    <xf numFmtId="0" fontId="31" fillId="15" borderId="5" xfId="0" applyFont="1" applyFill="1" applyBorder="1" applyAlignment="1">
      <alignment vertical="top" wrapText="1"/>
    </xf>
    <xf numFmtId="0" fontId="31" fillId="0" borderId="5" xfId="0" applyFont="1" applyBorder="1" applyAlignment="1">
      <alignment vertical="top" wrapText="1"/>
    </xf>
    <xf numFmtId="0" fontId="31" fillId="5" borderId="5" xfId="0" applyFont="1" applyFill="1" applyBorder="1" applyAlignment="1">
      <alignment vertical="top" wrapText="1"/>
    </xf>
    <xf numFmtId="0" fontId="40" fillId="43" borderId="1" xfId="0" applyFont="1" applyFill="1" applyBorder="1"/>
    <xf numFmtId="0" fontId="31" fillId="43" borderId="1" xfId="0" applyFont="1" applyFill="1" applyBorder="1"/>
    <xf numFmtId="0" fontId="46" fillId="43" borderId="1" xfId="0" applyFont="1" applyFill="1" applyBorder="1" applyAlignment="1">
      <alignment horizontal="center" vertical="center" wrapText="1"/>
    </xf>
    <xf numFmtId="0" fontId="0" fillId="43" borderId="0" xfId="0" applyFill="1"/>
    <xf numFmtId="0" fontId="31" fillId="8" borderId="1" xfId="0" applyFont="1" applyFill="1" applyBorder="1"/>
    <xf numFmtId="0" fontId="46" fillId="8" borderId="1" xfId="0" applyFont="1" applyFill="1" applyBorder="1" applyAlignment="1">
      <alignment horizontal="center" vertical="center" wrapText="1"/>
    </xf>
    <xf numFmtId="0" fontId="31" fillId="5" borderId="1" xfId="0" applyFont="1" applyFill="1" applyBorder="1"/>
    <xf numFmtId="0" fontId="46" fillId="5" borderId="1" xfId="0" applyFont="1" applyFill="1" applyBorder="1" applyAlignment="1">
      <alignment horizontal="center" vertical="center" wrapText="1"/>
    </xf>
    <xf numFmtId="0" fontId="43" fillId="2" borderId="0" xfId="0" applyFont="1" applyFill="1" applyAlignment="1">
      <alignment horizontal="left" vertical="center" wrapText="1"/>
    </xf>
    <xf numFmtId="0" fontId="43" fillId="30" borderId="1" xfId="0" applyFont="1" applyFill="1" applyBorder="1" applyAlignment="1">
      <alignment horizontal="center" vertical="center" wrapText="1"/>
    </xf>
    <xf numFmtId="0" fontId="4" fillId="30" borderId="1" xfId="0" applyFont="1" applyFill="1" applyBorder="1" applyAlignment="1">
      <alignment horizontal="center" vertical="center" wrapText="1"/>
    </xf>
    <xf numFmtId="0" fontId="0" fillId="30" borderId="0" xfId="0" applyFill="1"/>
    <xf numFmtId="0" fontId="47" fillId="5" borderId="1" xfId="0" applyFont="1" applyFill="1" applyBorder="1" applyAlignment="1">
      <alignment vertical="top" wrapText="1"/>
    </xf>
    <xf numFmtId="0" fontId="48" fillId="44" borderId="1" xfId="0" applyFont="1" applyFill="1" applyBorder="1" applyAlignment="1">
      <alignment horizontal="left" vertical="center" wrapText="1"/>
    </xf>
    <xf numFmtId="0" fontId="12" fillId="30" borderId="5" xfId="0" applyFont="1" applyFill="1" applyBorder="1" applyAlignment="1">
      <alignment vertical="top" wrapText="1"/>
    </xf>
    <xf numFmtId="0" fontId="31" fillId="7" borderId="5" xfId="0" applyFont="1" applyFill="1" applyBorder="1" applyAlignment="1">
      <alignment vertical="top" wrapText="1"/>
    </xf>
    <xf numFmtId="0" fontId="31" fillId="5" borderId="1" xfId="0" applyFont="1" applyFill="1" applyBorder="1" applyAlignment="1">
      <alignment horizontal="left" vertical="center" wrapText="1"/>
    </xf>
    <xf numFmtId="0" fontId="40" fillId="43" borderId="1" xfId="0" applyFont="1" applyFill="1" applyBorder="1" applyAlignment="1">
      <alignment horizontal="left" vertical="center" wrapText="1"/>
    </xf>
    <xf numFmtId="0" fontId="31" fillId="43" borderId="1" xfId="0" applyFont="1" applyFill="1" applyBorder="1" applyAlignment="1">
      <alignment horizontal="left" vertical="center" wrapText="1"/>
    </xf>
    <xf numFmtId="0" fontId="49" fillId="0" borderId="0" xfId="0" applyFont="1"/>
    <xf numFmtId="0" fontId="40" fillId="43" borderId="0" xfId="0" applyFont="1" applyFill="1"/>
    <xf numFmtId="0" fontId="7" fillId="0" borderId="0" xfId="0" applyFont="1"/>
    <xf numFmtId="0" fontId="41" fillId="5" borderId="1" xfId="0" applyFont="1" applyFill="1" applyBorder="1" applyAlignment="1">
      <alignment horizontal="left" vertical="center" wrapText="1"/>
    </xf>
    <xf numFmtId="0" fontId="16" fillId="19" borderId="1" xfId="0" applyFont="1" applyFill="1" applyBorder="1"/>
    <xf numFmtId="0" fontId="41" fillId="8" borderId="1" xfId="0" applyFont="1" applyFill="1" applyBorder="1" applyAlignment="1">
      <alignment horizontal="left" vertical="center" wrapText="1"/>
    </xf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3" fillId="4" borderId="0" xfId="0" applyFont="1" applyFill="1" applyAlignment="1">
      <alignment horizontal="left" vertical="center" wrapText="1"/>
    </xf>
    <xf numFmtId="0" fontId="12" fillId="38" borderId="0" xfId="0" applyFont="1" applyFill="1" applyAlignment="1">
      <alignment horizontal="center" vertical="center" wrapText="1"/>
    </xf>
    <xf numFmtId="0" fontId="30" fillId="4" borderId="0" xfId="0" applyFont="1" applyFill="1" applyAlignment="1">
      <alignment horizontal="center" vertical="center" wrapText="1"/>
    </xf>
    <xf numFmtId="0" fontId="0" fillId="0" borderId="0" xfId="0"/>
    <xf numFmtId="0" fontId="12" fillId="37" borderId="0" xfId="0" applyFont="1" applyFill="1" applyAlignment="1">
      <alignment horizontal="center" vertical="center" wrapText="1"/>
    </xf>
    <xf numFmtId="0" fontId="32" fillId="37" borderId="0" xfId="0" applyFont="1" applyFill="1" applyAlignment="1">
      <alignment horizontal="center" vertical="center" wrapText="1"/>
    </xf>
    <xf numFmtId="0" fontId="32" fillId="37" borderId="0" xfId="0" applyFont="1" applyFill="1" applyAlignment="1">
      <alignment horizontal="center" vertical="center"/>
    </xf>
    <xf numFmtId="0" fontId="30" fillId="4" borderId="0" xfId="0" applyFont="1" applyFill="1" applyAlignment="1">
      <alignment vertical="center" wrapText="1"/>
    </xf>
    <xf numFmtId="0" fontId="12" fillId="36" borderId="0" xfId="0" applyFont="1" applyFill="1" applyAlignment="1">
      <alignment horizontal="center" vertical="center" wrapText="1"/>
    </xf>
    <xf numFmtId="0" fontId="32" fillId="36" borderId="0" xfId="0" applyFont="1" applyFill="1" applyAlignment="1">
      <alignment horizontal="center" vertical="center"/>
    </xf>
    <xf numFmtId="0" fontId="4" fillId="34" borderId="0" xfId="0" applyFont="1" applyFill="1" applyAlignment="1">
      <alignment horizontal="center" vertical="center" wrapText="1"/>
    </xf>
    <xf numFmtId="0" fontId="12" fillId="35" borderId="0" xfId="0" applyFont="1" applyFill="1" applyAlignment="1">
      <alignment vertical="center" wrapText="1"/>
    </xf>
    <xf numFmtId="0" fontId="0" fillId="35" borderId="0" xfId="0" applyFill="1"/>
    <xf numFmtId="0" fontId="12" fillId="33" borderId="0" xfId="0" applyFont="1" applyFill="1" applyAlignment="1">
      <alignment horizontal="center" vertical="center" wrapText="1"/>
    </xf>
    <xf numFmtId="0" fontId="32" fillId="33" borderId="0" xfId="0" applyFont="1" applyFill="1" applyAlignment="1">
      <alignment horizontal="center" vertical="center"/>
    </xf>
    <xf numFmtId="0" fontId="12" fillId="34" borderId="0" xfId="0" applyFont="1" applyFill="1" applyAlignment="1">
      <alignment vertical="center" wrapText="1"/>
    </xf>
    <xf numFmtId="0" fontId="12" fillId="34" borderId="0" xfId="0" applyFont="1" applyFill="1" applyAlignment="1">
      <alignment horizontal="center" vertical="center" wrapText="1"/>
    </xf>
    <xf numFmtId="0" fontId="31" fillId="0" borderId="0" xfId="0" applyFont="1" applyAlignment="1">
      <alignment vertical="top" wrapText="1"/>
    </xf>
    <xf numFmtId="0" fontId="13" fillId="4" borderId="2" xfId="0" applyFont="1" applyFill="1" applyBorder="1" applyAlignment="1">
      <alignment horizontal="center" vertical="center" wrapText="1"/>
    </xf>
    <xf numFmtId="0" fontId="12" fillId="32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left" vertical="center" wrapText="1"/>
    </xf>
    <xf numFmtId="0" fontId="12" fillId="24" borderId="0" xfId="0" applyFont="1" applyFill="1" applyAlignment="1">
      <alignment horizontal="center" vertical="center" wrapText="1"/>
    </xf>
    <xf numFmtId="0" fontId="27" fillId="25" borderId="0" xfId="0" applyFont="1" applyFill="1" applyAlignment="1">
      <alignment horizontal="center" vertical="center" wrapText="1"/>
    </xf>
    <xf numFmtId="0" fontId="21" fillId="25" borderId="0" xfId="0" applyFont="1" applyFill="1" applyAlignment="1">
      <alignment horizontal="center" vertical="center" wrapText="1"/>
    </xf>
    <xf numFmtId="0" fontId="28" fillId="25" borderId="0" xfId="0" applyFont="1" applyFill="1" applyAlignment="1">
      <alignment horizontal="center" vertical="center" wrapText="1"/>
    </xf>
    <xf numFmtId="0" fontId="7" fillId="8" borderId="1" xfId="0" applyFont="1" applyFill="1" applyBorder="1" applyAlignment="1">
      <alignment horizontal="left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0" fillId="8" borderId="1" xfId="0" applyFill="1" applyBorder="1" applyAlignment="1">
      <alignment horizontal="left" vertical="center" wrapText="1"/>
    </xf>
    <xf numFmtId="0" fontId="0" fillId="0" borderId="3" xfId="0" applyBorder="1"/>
    <xf numFmtId="0" fontId="12" fillId="30" borderId="0" xfId="0" applyFont="1" applyFill="1" applyAlignment="1">
      <alignment horizontal="center" vertical="center" wrapText="1"/>
    </xf>
    <xf numFmtId="0" fontId="25" fillId="31" borderId="0" xfId="0" applyFont="1" applyFill="1" applyAlignment="1">
      <alignment horizontal="center" vertical="center" wrapText="1"/>
    </xf>
    <xf numFmtId="0" fontId="26" fillId="31" borderId="0" xfId="0" applyFont="1" applyFill="1" applyAlignment="1">
      <alignment horizontal="center" vertical="center" wrapText="1"/>
    </xf>
    <xf numFmtId="0" fontId="23" fillId="31" borderId="0" xfId="0" applyFont="1" applyFill="1" applyAlignment="1">
      <alignment horizontal="center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left" vertical="center" wrapText="1"/>
    </xf>
    <xf numFmtId="0" fontId="12" fillId="28" borderId="0" xfId="0" applyFont="1" applyFill="1" applyAlignment="1">
      <alignment horizontal="center" vertical="center" wrapText="1"/>
    </xf>
    <xf numFmtId="0" fontId="9" fillId="29" borderId="0" xfId="0" applyFont="1" applyFill="1" applyAlignment="1">
      <alignment horizontal="center" vertical="center" wrapText="1"/>
    </xf>
    <xf numFmtId="0" fontId="24" fillId="29" borderId="0" xfId="0" applyFont="1" applyFill="1" applyAlignment="1">
      <alignment horizontal="center" vertical="center" wrapText="1"/>
    </xf>
    <xf numFmtId="0" fontId="23" fillId="29" borderId="0" xfId="0" applyFont="1" applyFill="1" applyAlignment="1">
      <alignment horizontal="center" vertical="center" wrapText="1"/>
    </xf>
    <xf numFmtId="0" fontId="12" fillId="26" borderId="0" xfId="0" applyFont="1" applyFill="1" applyAlignment="1">
      <alignment horizontal="center" vertical="center" wrapText="1"/>
    </xf>
    <xf numFmtId="0" fontId="10" fillId="27" borderId="0" xfId="0" applyFont="1" applyFill="1" applyAlignment="1">
      <alignment horizontal="center" vertical="center" wrapText="1"/>
    </xf>
    <xf numFmtId="0" fontId="22" fillId="27" borderId="0" xfId="0" applyFont="1" applyFill="1" applyAlignment="1">
      <alignment horizontal="center" vertical="center" wrapText="1"/>
    </xf>
    <xf numFmtId="0" fontId="23" fillId="27" borderId="0" xfId="0" applyFont="1" applyFill="1" applyAlignment="1">
      <alignment horizontal="center" vertical="center" wrapText="1"/>
    </xf>
    <xf numFmtId="0" fontId="13" fillId="4" borderId="0" xfId="0" applyFont="1" applyFill="1" applyAlignment="1">
      <alignment vertical="center" wrapText="1"/>
    </xf>
    <xf numFmtId="0" fontId="8" fillId="25" borderId="0" xfId="0" applyFont="1" applyFill="1" applyAlignment="1">
      <alignment horizontal="center" vertical="center" wrapText="1"/>
    </xf>
    <xf numFmtId="0" fontId="12" fillId="22" borderId="0" xfId="0" applyFont="1" applyFill="1" applyAlignment="1">
      <alignment horizontal="left" vertical="center" wrapText="1"/>
    </xf>
    <xf numFmtId="0" fontId="6" fillId="23" borderId="0" xfId="0" applyFont="1" applyFill="1" applyAlignment="1">
      <alignment vertical="center" wrapText="1"/>
    </xf>
    <xf numFmtId="0" fontId="20" fillId="23" borderId="0" xfId="0" applyFont="1" applyFill="1" applyAlignment="1">
      <alignment horizontal="left" vertical="center" wrapText="1"/>
    </xf>
    <xf numFmtId="0" fontId="12" fillId="2" borderId="2" xfId="0" applyFont="1" applyFill="1" applyBorder="1" applyAlignment="1">
      <alignment horizontal="center" vertical="center" wrapText="1"/>
    </xf>
    <xf numFmtId="0" fontId="12" fillId="20" borderId="0" xfId="0" applyFont="1" applyFill="1" applyAlignment="1">
      <alignment horizontal="left" vertical="center" wrapText="1"/>
    </xf>
    <xf numFmtId="0" fontId="11" fillId="21" borderId="0" xfId="0" applyFont="1" applyFill="1" applyAlignment="1">
      <alignment vertical="center" wrapText="1"/>
    </xf>
    <xf numFmtId="0" fontId="19" fillId="21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vertical="center" wrapText="1"/>
    </xf>
    <xf numFmtId="0" fontId="12" fillId="2" borderId="0" xfId="0" applyFont="1" applyFill="1" applyAlignment="1">
      <alignment horizontal="left" vertical="center" wrapText="1"/>
    </xf>
    <xf numFmtId="0" fontId="7" fillId="18" borderId="0" xfId="0" applyFont="1" applyFill="1" applyAlignment="1">
      <alignment vertical="center" wrapText="1"/>
    </xf>
    <xf numFmtId="0" fontId="2" fillId="18" borderId="0" xfId="0" applyFont="1" applyFill="1" applyAlignment="1">
      <alignment horizontal="left" vertical="center" wrapText="1"/>
    </xf>
    <xf numFmtId="0" fontId="35" fillId="0" borderId="0" xfId="0" applyFont="1"/>
    <xf numFmtId="0" fontId="42" fillId="2" borderId="0" xfId="0" applyFont="1" applyFill="1" applyAlignment="1">
      <alignment horizontal="center" vertical="center" wrapText="1"/>
    </xf>
    <xf numFmtId="0" fontId="39" fillId="3" borderId="0" xfId="0" applyFont="1" applyFill="1" applyAlignment="1">
      <alignment horizontal="center" vertical="top" wrapText="1"/>
    </xf>
    <xf numFmtId="0" fontId="50" fillId="23" borderId="0" xfId="0" applyFont="1" applyFill="1" applyAlignment="1">
      <alignment vertical="center" wrapText="1"/>
    </xf>
    <xf numFmtId="0" fontId="12" fillId="24" borderId="0" xfId="0" applyFont="1" applyFill="1" applyAlignment="1">
      <alignment horizontal="left" vertical="center" wrapText="1"/>
    </xf>
    <xf numFmtId="0" fontId="50" fillId="25" borderId="0" xfId="0" applyFont="1" applyFill="1" applyAlignment="1">
      <alignment vertical="center" wrapText="1"/>
    </xf>
    <xf numFmtId="0" fontId="43" fillId="2" borderId="0" xfId="0" applyFont="1" applyFill="1" applyAlignment="1">
      <alignment horizontal="left" vertical="center" wrapText="1"/>
    </xf>
    <xf numFmtId="0" fontId="50" fillId="18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3AED22"/>
      <rgbColor rgb="FF3A5C22"/>
      <rgbColor rgb="FFFFFF00"/>
      <rgbColor rgb="FFCC0000"/>
      <rgbColor rgb="FFF6FFED"/>
      <rgbColor rgb="FF770622"/>
      <rgbColor rgb="FF15803D"/>
      <rgbColor rgb="FF415122"/>
      <rgbColor rgb="FF966922"/>
      <rgbColor rgb="FF6D28D9"/>
      <rgbColor rgb="FF0F766E"/>
      <rgbColor rgb="FFBBBBBB"/>
      <rgbColor rgb="FF888888"/>
      <rgbColor rgb="FF7C3AED"/>
      <rgbColor rgb="FFDC2626"/>
      <rgbColor rgb="FFFFFBE6"/>
      <rgbColor rgb="FFDCFCE7"/>
      <rgbColor rgb="FF374151"/>
      <rgbColor rgb="FFD46B08"/>
      <rgbColor rgb="FF0369A1"/>
      <rgbColor rgb="FFCCCCCC"/>
      <rgbColor rgb="FF3A5C33"/>
      <rgbColor rgb="FF966933"/>
      <rgbColor rgb="FFFFF7E6"/>
      <rgbColor rgb="FFF9FAFC"/>
      <rgbColor rgb="FFCF1322"/>
      <rgbColor rgb="FF770633"/>
      <rgbColor rgb="FF0E7490"/>
      <rgbColor rgb="FF7C5800"/>
      <rgbColor rgb="FF2D679E"/>
      <rgbColor rgb="FFEEF2F8"/>
      <rgbColor rgb="FFD6E4F0"/>
      <rgbColor rgb="FFFEF3C7"/>
      <rgbColor rgb="FFF0F0F0"/>
      <rgbColor rgb="FFFFF1F0"/>
      <rgbColor rgb="FFF5F5F5"/>
      <rgbColor rgb="FFDDDDDD"/>
      <rgbColor rgb="FF2D6A9F"/>
      <rgbColor rgb="FF3AED33"/>
      <rgbColor rgb="FF6A9F22"/>
      <rgbColor rgb="FFFFC000"/>
      <rgbColor rgb="FFD97706"/>
      <rgbColor rgb="FFEA580C"/>
      <rgbColor rgb="FF555555"/>
      <rgbColor rgb="FF6A9F33"/>
      <rgbColor rgb="FF1A3A5C"/>
      <rgbColor rgb="FF059669"/>
      <rgbColor rgb="FF262633"/>
      <rgbColor rgb="FF262622"/>
      <rgbColor rgb="FFB45309"/>
      <rgbColor rgb="FF9333EA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6"/>
  <sheetViews>
    <sheetView tabSelected="1" zoomScale="40" zoomScaleNormal="40" workbookViewId="0">
      <pane ySplit="4" topLeftCell="A5" activePane="bottomLeft" state="frozen"/>
      <selection pane="bottomLeft" activeCell="O8" sqref="O8"/>
    </sheetView>
  </sheetViews>
  <sheetFormatPr defaultColWidth="8.7109375" defaultRowHeight="15" x14ac:dyDescent="0.25"/>
  <cols>
    <col min="1" max="1" width="8" customWidth="1"/>
    <col min="2" max="2" width="38" customWidth="1"/>
    <col min="3" max="6" width="12" customWidth="1"/>
    <col min="7" max="7" width="8" customWidth="1"/>
    <col min="8" max="8" width="12" customWidth="1"/>
    <col min="9" max="10" width="14" customWidth="1"/>
    <col min="11" max="11" width="22" customWidth="1"/>
    <col min="12" max="12" width="20" customWidth="1"/>
    <col min="13" max="13" width="6" customWidth="1"/>
    <col min="14" max="14" width="12" customWidth="1"/>
    <col min="15" max="15" width="30" customWidth="1"/>
  </cols>
  <sheetData>
    <row r="1" spans="1:15" ht="27.75" customHeight="1" x14ac:dyDescent="0.25">
      <c r="A1" s="144" t="s">
        <v>0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ht="18" customHeight="1" x14ac:dyDescent="0.25">
      <c r="A2" s="145" t="s">
        <v>1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1:15" ht="30" customHeight="1" x14ac:dyDescent="0.25">
      <c r="A3" s="146" t="s">
        <v>2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</row>
    <row r="4" spans="1:15" ht="30" customHeight="1" x14ac:dyDescent="0.25">
      <c r="A4" s="1" t="s">
        <v>3</v>
      </c>
      <c r="B4" s="1" t="s">
        <v>4</v>
      </c>
      <c r="C4" s="1" t="s">
        <v>5</v>
      </c>
      <c r="D4" s="1" t="s">
        <v>6</v>
      </c>
      <c r="E4" s="1" t="s">
        <v>7</v>
      </c>
      <c r="F4" s="1" t="s">
        <v>8</v>
      </c>
      <c r="G4" s="1" t="s">
        <v>9</v>
      </c>
      <c r="H4" s="1" t="s">
        <v>10</v>
      </c>
      <c r="I4" s="1" t="s">
        <v>11</v>
      </c>
      <c r="J4" s="1" t="s">
        <v>12</v>
      </c>
      <c r="K4" s="1" t="s">
        <v>13</v>
      </c>
      <c r="L4" s="1" t="s">
        <v>14</v>
      </c>
      <c r="M4" s="1" t="s">
        <v>15</v>
      </c>
      <c r="N4" s="1" t="s">
        <v>16</v>
      </c>
      <c r="O4" s="1" t="s">
        <v>17</v>
      </c>
    </row>
    <row r="5" spans="1:15" ht="97.5" customHeight="1" x14ac:dyDescent="0.25">
      <c r="A5" s="2" t="s">
        <v>18</v>
      </c>
      <c r="B5" s="2" t="s">
        <v>19</v>
      </c>
      <c r="C5" s="3" t="s">
        <v>20</v>
      </c>
      <c r="D5" s="2">
        <v>0.1</v>
      </c>
      <c r="E5" s="2">
        <v>7.0000000000000007E-2</v>
      </c>
      <c r="F5" s="2">
        <v>0.13</v>
      </c>
      <c r="G5" s="2" t="s">
        <v>21</v>
      </c>
      <c r="H5" s="2" t="s">
        <v>22</v>
      </c>
      <c r="I5" s="2">
        <f>IF(H5="LogNormal", LN(D5) - ((LN(F5)-LN(E5))/3.92)^2 / 2,
IF(H5="Beta",       D5^2*(1-D5) / ((F5-E5)/3.92)^2 - D5,
IF(H5="Gamma",      D5^2 / ((F5-E5)/3.92)^2,
IF(H5="Normal",     D5, "—"))))</f>
        <v>0.1</v>
      </c>
      <c r="J5" s="4">
        <f>IF(H5="LogNormal", (LN(F5)-LN(E5)) / 3.92,
IF(H5="Beta",       (D5^2*(1-D5)/((F5-E5)/3.92)^2 - D5) * (1/D5 - 1),
IF(H5="Gamma",      D5 / ((F5-E5)/3.92)^2,
IF(H5="Normal",     (F5-E5)/3.92, "—"))))</f>
        <v>1.5306122448979591E-2</v>
      </c>
      <c r="K5" s="2"/>
      <c r="L5" s="2" t="s">
        <v>23</v>
      </c>
      <c r="M5" s="2" t="s">
        <v>24</v>
      </c>
      <c r="N5" s="5" t="s">
        <v>25</v>
      </c>
      <c r="O5" s="2" t="s">
        <v>26</v>
      </c>
    </row>
    <row r="6" spans="1:15" ht="76.5" customHeight="1" x14ac:dyDescent="0.25">
      <c r="A6" s="6" t="s">
        <v>27</v>
      </c>
      <c r="B6" s="6" t="s">
        <v>28</v>
      </c>
      <c r="C6" s="3" t="s">
        <v>20</v>
      </c>
      <c r="D6" s="6">
        <v>0.2</v>
      </c>
      <c r="E6" s="6">
        <v>0.13</v>
      </c>
      <c r="F6" s="6">
        <v>0.26</v>
      </c>
      <c r="G6" s="6" t="s">
        <v>29</v>
      </c>
      <c r="H6" s="6" t="s">
        <v>30</v>
      </c>
      <c r="I6" s="4">
        <v>36.3701775147929</v>
      </c>
      <c r="J6" s="4">
        <v>181.850887573965</v>
      </c>
      <c r="K6" s="6"/>
      <c r="L6" s="6" t="s">
        <v>31</v>
      </c>
      <c r="M6" s="6" t="s">
        <v>24</v>
      </c>
      <c r="N6" s="5" t="s">
        <v>25</v>
      </c>
      <c r="O6" s="6" t="s">
        <v>32</v>
      </c>
    </row>
    <row r="7" spans="1:15" ht="153" customHeight="1" x14ac:dyDescent="0.25">
      <c r="A7" s="7" t="s">
        <v>33</v>
      </c>
      <c r="B7" s="2" t="s">
        <v>34</v>
      </c>
      <c r="C7" s="8" t="s">
        <v>35</v>
      </c>
      <c r="D7" s="2">
        <v>4.4999999999999998E-2</v>
      </c>
      <c r="E7" s="2">
        <v>3.1E-2</v>
      </c>
      <c r="F7" s="2">
        <v>6.5000000000000002E-2</v>
      </c>
      <c r="G7" s="2" t="s">
        <v>36</v>
      </c>
      <c r="H7" s="2" t="s">
        <v>37</v>
      </c>
      <c r="I7" s="4">
        <f t="shared" ref="I7:I24" si="0">IF(H7="LogNormal", LN(D7) - ((LN(F7)-LN(E7))/3.92)^2 / 2,
IF(H7="Beta",       D7^2*(1-D7) / ((F7-E7)/3.92)^2 - D7,
IF(H7="Gamma",      D7^2 / ((F7-E7)/3.92)^2,
IF(H7="Normal",     D7, "—"))))</f>
        <v>-3.1189301570032275</v>
      </c>
      <c r="J7" s="4">
        <f t="shared" ref="J7:J24" si="1">IF(H7="LogNormal", (LN(F7)-LN(E7)) / 3.92,
IF(H7="Beta",       (D7^2*(1-D7)/((F7-E7)/3.92)^2 - D7) * (1/D7 - 1),
IF(H7="Gamma",      D7 / ((F7-E7)/3.92)^2,
IF(H7="Normal",     (F7-E7)/3.92, "—"))))</f>
        <v>0.1888775677067579</v>
      </c>
      <c r="K7" s="2"/>
      <c r="L7" s="2" t="s">
        <v>38</v>
      </c>
      <c r="M7" s="2" t="s">
        <v>39</v>
      </c>
      <c r="N7" s="5" t="s">
        <v>25</v>
      </c>
      <c r="O7" s="2" t="s">
        <v>40</v>
      </c>
    </row>
    <row r="8" spans="1:15" ht="140.25" customHeight="1" x14ac:dyDescent="0.25">
      <c r="A8" s="7" t="s">
        <v>41</v>
      </c>
      <c r="B8" s="6" t="s">
        <v>42</v>
      </c>
      <c r="C8" s="8" t="s">
        <v>35</v>
      </c>
      <c r="D8" s="6">
        <v>2.1999999999999999E-2</v>
      </c>
      <c r="E8" s="6">
        <v>1.2E-2</v>
      </c>
      <c r="F8" s="6">
        <v>3.7999999999999999E-2</v>
      </c>
      <c r="G8" s="6" t="s">
        <v>36</v>
      </c>
      <c r="H8" s="6" t="s">
        <v>37</v>
      </c>
      <c r="I8" s="4">
        <f t="shared" si="0"/>
        <v>-3.8599457901643706</v>
      </c>
      <c r="J8" s="4">
        <f t="shared" si="1"/>
        <v>0.29405089539244533</v>
      </c>
      <c r="K8" s="2"/>
      <c r="L8" s="6" t="s">
        <v>38</v>
      </c>
      <c r="M8" s="6" t="s">
        <v>39</v>
      </c>
      <c r="N8" s="5" t="s">
        <v>43</v>
      </c>
      <c r="O8" s="6" t="s">
        <v>44</v>
      </c>
    </row>
    <row r="9" spans="1:15" ht="114.75" customHeight="1" x14ac:dyDescent="0.25">
      <c r="A9" s="7" t="s">
        <v>45</v>
      </c>
      <c r="B9" s="2" t="s">
        <v>46</v>
      </c>
      <c r="C9" s="8" t="s">
        <v>35</v>
      </c>
      <c r="D9" s="2">
        <v>1.7999999999999999E-2</v>
      </c>
      <c r="E9" s="2">
        <v>8.0000000000000002E-3</v>
      </c>
      <c r="F9" s="2">
        <v>3.2000000000000001E-2</v>
      </c>
      <c r="G9" s="2" t="s">
        <v>36</v>
      </c>
      <c r="H9" s="2" t="s">
        <v>37</v>
      </c>
      <c r="I9" s="4">
        <f t="shared" si="0"/>
        <v>-4.0799164518854054</v>
      </c>
      <c r="J9" s="4">
        <f t="shared" si="1"/>
        <v>0.35364652069384983</v>
      </c>
      <c r="K9" s="2"/>
      <c r="L9" s="2" t="s">
        <v>38</v>
      </c>
      <c r="M9" s="2" t="s">
        <v>39</v>
      </c>
      <c r="N9" s="5" t="s">
        <v>43</v>
      </c>
      <c r="O9" s="2" t="s">
        <v>47</v>
      </c>
    </row>
    <row r="10" spans="1:15" ht="153" customHeight="1" x14ac:dyDescent="0.25">
      <c r="A10" s="7" t="s">
        <v>48</v>
      </c>
      <c r="B10" s="6" t="s">
        <v>49</v>
      </c>
      <c r="C10" s="8" t="s">
        <v>35</v>
      </c>
      <c r="D10" s="6">
        <v>3.1E-2</v>
      </c>
      <c r="E10" s="6">
        <v>1.4999999999999999E-2</v>
      </c>
      <c r="F10" s="6">
        <v>5.5E-2</v>
      </c>
      <c r="G10" s="6" t="s">
        <v>36</v>
      </c>
      <c r="H10" s="6" t="s">
        <v>37</v>
      </c>
      <c r="I10" s="4">
        <f t="shared" si="0"/>
        <v>-3.5286975398516098</v>
      </c>
      <c r="J10" s="4">
        <f t="shared" si="1"/>
        <v>0.33144974084955642</v>
      </c>
      <c r="K10" s="6"/>
      <c r="L10" s="6" t="s">
        <v>50</v>
      </c>
      <c r="M10" s="6" t="s">
        <v>51</v>
      </c>
      <c r="N10" s="5" t="s">
        <v>25</v>
      </c>
      <c r="O10" s="6" t="s">
        <v>52</v>
      </c>
    </row>
    <row r="11" spans="1:15" ht="140.25" customHeight="1" x14ac:dyDescent="0.25">
      <c r="A11" s="9" t="s">
        <v>53</v>
      </c>
      <c r="B11" s="2" t="s">
        <v>54</v>
      </c>
      <c r="C11" s="10" t="s">
        <v>55</v>
      </c>
      <c r="D11" s="2">
        <v>0.57999999999999996</v>
      </c>
      <c r="E11" s="2">
        <v>0.38</v>
      </c>
      <c r="F11" s="2">
        <v>0.78</v>
      </c>
      <c r="G11" s="2" t="s">
        <v>56</v>
      </c>
      <c r="H11" s="2" t="s">
        <v>37</v>
      </c>
      <c r="I11" s="4">
        <f t="shared" si="0"/>
        <v>-0.56155406430764843</v>
      </c>
      <c r="J11" s="4">
        <f t="shared" si="1"/>
        <v>0.18344965993959339</v>
      </c>
      <c r="K11" s="2" t="s">
        <v>57</v>
      </c>
      <c r="L11" s="2" t="s">
        <v>58</v>
      </c>
      <c r="M11" s="2" t="s">
        <v>59</v>
      </c>
      <c r="N11" s="5" t="s">
        <v>60</v>
      </c>
      <c r="O11" s="2" t="s">
        <v>61</v>
      </c>
    </row>
    <row r="12" spans="1:15" ht="152.25" customHeight="1" x14ac:dyDescent="0.25">
      <c r="A12" s="9" t="s">
        <v>62</v>
      </c>
      <c r="B12" s="6" t="s">
        <v>63</v>
      </c>
      <c r="C12" s="10" t="s">
        <v>55</v>
      </c>
      <c r="D12" s="6">
        <v>0.45</v>
      </c>
      <c r="E12" s="6">
        <v>0.2</v>
      </c>
      <c r="F12" s="6">
        <v>0.75</v>
      </c>
      <c r="G12" s="6" t="s">
        <v>56</v>
      </c>
      <c r="H12" s="6" t="s">
        <v>37</v>
      </c>
      <c r="I12" s="4">
        <f t="shared" si="0"/>
        <v>-0.85535375321639739</v>
      </c>
      <c r="J12" s="4">
        <f t="shared" si="1"/>
        <v>0.33718261224038759</v>
      </c>
      <c r="K12" s="6" t="s">
        <v>64</v>
      </c>
      <c r="L12" s="6" t="s">
        <v>65</v>
      </c>
      <c r="M12" s="6" t="s">
        <v>66</v>
      </c>
      <c r="N12" s="5" t="s">
        <v>60</v>
      </c>
      <c r="O12" s="6" t="s">
        <v>67</v>
      </c>
    </row>
    <row r="13" spans="1:15" ht="140.25" customHeight="1" x14ac:dyDescent="0.25">
      <c r="A13" s="11" t="s">
        <v>68</v>
      </c>
      <c r="B13" s="2" t="s">
        <v>69</v>
      </c>
      <c r="C13" s="12" t="s">
        <v>70</v>
      </c>
      <c r="D13" s="2">
        <v>1.64</v>
      </c>
      <c r="E13" s="2">
        <v>1.3</v>
      </c>
      <c r="F13" s="2">
        <v>2.1</v>
      </c>
      <c r="G13" s="2" t="s">
        <v>56</v>
      </c>
      <c r="H13" s="2" t="s">
        <v>37</v>
      </c>
      <c r="I13" s="4">
        <f t="shared" si="0"/>
        <v>0.48721269528935973</v>
      </c>
      <c r="J13" s="4">
        <f t="shared" si="1"/>
        <v>0.12234007149537915</v>
      </c>
      <c r="K13" s="2" t="s">
        <v>71</v>
      </c>
      <c r="L13" s="2" t="s">
        <v>72</v>
      </c>
      <c r="M13" s="2" t="s">
        <v>73</v>
      </c>
      <c r="N13" s="5" t="s">
        <v>25</v>
      </c>
      <c r="O13" s="2" t="s">
        <v>74</v>
      </c>
    </row>
    <row r="14" spans="1:15" ht="114.75" customHeight="1" x14ac:dyDescent="0.25">
      <c r="A14" s="11" t="s">
        <v>75</v>
      </c>
      <c r="B14" s="6" t="s">
        <v>76</v>
      </c>
      <c r="C14" s="12" t="s">
        <v>70</v>
      </c>
      <c r="D14" s="6">
        <v>2.1</v>
      </c>
      <c r="E14" s="6">
        <v>1.7</v>
      </c>
      <c r="F14" s="6">
        <v>2.58</v>
      </c>
      <c r="G14" s="6" t="s">
        <v>77</v>
      </c>
      <c r="H14" s="6" t="s">
        <v>37</v>
      </c>
      <c r="I14" s="4">
        <f t="shared" si="0"/>
        <v>0.73627487911305378</v>
      </c>
      <c r="J14" s="4">
        <f t="shared" si="1"/>
        <v>0.10641866017126421</v>
      </c>
      <c r="K14" s="6" t="s">
        <v>78</v>
      </c>
      <c r="L14" s="6" t="s">
        <v>79</v>
      </c>
      <c r="M14" s="6" t="s">
        <v>66</v>
      </c>
      <c r="N14" s="13" t="s">
        <v>80</v>
      </c>
      <c r="O14" s="6" t="s">
        <v>81</v>
      </c>
    </row>
    <row r="15" spans="1:15" ht="153" customHeight="1" x14ac:dyDescent="0.25">
      <c r="A15" s="11" t="s">
        <v>82</v>
      </c>
      <c r="B15" s="2" t="s">
        <v>83</v>
      </c>
      <c r="C15" s="12" t="s">
        <v>70</v>
      </c>
      <c r="D15" s="2">
        <v>1.22</v>
      </c>
      <c r="E15" s="2">
        <v>1.05</v>
      </c>
      <c r="F15" s="2">
        <v>1.45</v>
      </c>
      <c r="G15" s="2" t="s">
        <v>77</v>
      </c>
      <c r="H15" s="2" t="s">
        <v>37</v>
      </c>
      <c r="I15" s="4">
        <f t="shared" si="0"/>
        <v>0.19546090850460793</v>
      </c>
      <c r="J15" s="4">
        <f t="shared" si="1"/>
        <v>8.2340151087512997E-2</v>
      </c>
      <c r="K15" s="2" t="s">
        <v>84</v>
      </c>
      <c r="L15" s="2" t="s">
        <v>85</v>
      </c>
      <c r="M15" s="2" t="s">
        <v>86</v>
      </c>
      <c r="N15" s="13" t="s">
        <v>87</v>
      </c>
      <c r="O15" s="2" t="s">
        <v>88</v>
      </c>
    </row>
    <row r="16" spans="1:15" ht="89.25" customHeight="1" x14ac:dyDescent="0.25">
      <c r="A16" s="11" t="s">
        <v>89</v>
      </c>
      <c r="B16" s="6" t="s">
        <v>90</v>
      </c>
      <c r="C16" s="12" t="s">
        <v>91</v>
      </c>
      <c r="D16" s="6">
        <v>1.94</v>
      </c>
      <c r="E16" s="6">
        <v>1.76</v>
      </c>
      <c r="F16" s="6">
        <v>2.13</v>
      </c>
      <c r="G16" s="6" t="s">
        <v>77</v>
      </c>
      <c r="H16" s="6" t="s">
        <v>37</v>
      </c>
      <c r="I16" s="4">
        <f t="shared" si="0"/>
        <v>0.66150331830915887</v>
      </c>
      <c r="J16" s="4">
        <f t="shared" si="1"/>
        <v>4.8675553742671733E-2</v>
      </c>
      <c r="K16" s="6" t="s">
        <v>92</v>
      </c>
      <c r="L16" s="6" t="s">
        <v>50</v>
      </c>
      <c r="M16" s="6" t="s">
        <v>51</v>
      </c>
      <c r="N16" s="5" t="s">
        <v>93</v>
      </c>
      <c r="O16" s="6" t="s">
        <v>94</v>
      </c>
    </row>
    <row r="17" spans="1:15" ht="127.5" customHeight="1" x14ac:dyDescent="0.25">
      <c r="A17" s="9" t="s">
        <v>95</v>
      </c>
      <c r="B17" s="2" t="s">
        <v>96</v>
      </c>
      <c r="C17" s="14" t="s">
        <v>97</v>
      </c>
      <c r="D17" s="2">
        <v>0.99299999999999999</v>
      </c>
      <c r="E17" s="2">
        <v>0.98599999999999999</v>
      </c>
      <c r="F17" s="2">
        <v>1</v>
      </c>
      <c r="G17" s="2" t="s">
        <v>98</v>
      </c>
      <c r="H17" s="2" t="s">
        <v>99</v>
      </c>
      <c r="I17" s="4">
        <f t="shared" si="0"/>
        <v>540.15069119999941</v>
      </c>
      <c r="J17" s="4">
        <f t="shared" si="1"/>
        <v>3.8077087999999844</v>
      </c>
      <c r="K17" s="2" t="s">
        <v>100</v>
      </c>
      <c r="L17" s="2" t="s">
        <v>101</v>
      </c>
      <c r="M17" s="2" t="s">
        <v>66</v>
      </c>
      <c r="N17" s="13" t="s">
        <v>102</v>
      </c>
      <c r="O17" s="2" t="s">
        <v>103</v>
      </c>
    </row>
    <row r="18" spans="1:15" ht="102" customHeight="1" x14ac:dyDescent="0.25">
      <c r="A18" s="9" t="s">
        <v>104</v>
      </c>
      <c r="B18" s="6" t="s">
        <v>105</v>
      </c>
      <c r="C18" s="14" t="s">
        <v>97</v>
      </c>
      <c r="D18" s="6">
        <v>0.99299999999999999</v>
      </c>
      <c r="E18" s="6">
        <v>0.98599999999999999</v>
      </c>
      <c r="F18" s="6">
        <v>0.997</v>
      </c>
      <c r="G18" s="6" t="s">
        <v>98</v>
      </c>
      <c r="H18" s="6" t="s">
        <v>99</v>
      </c>
      <c r="I18" s="4">
        <f t="shared" si="0"/>
        <v>875.57033450578433</v>
      </c>
      <c r="J18" s="4">
        <f t="shared" si="1"/>
        <v>6.1721977256198102</v>
      </c>
      <c r="K18" s="6" t="s">
        <v>100</v>
      </c>
      <c r="L18" s="6" t="s">
        <v>101</v>
      </c>
      <c r="M18" s="6" t="s">
        <v>66</v>
      </c>
      <c r="N18" s="13" t="s">
        <v>102</v>
      </c>
      <c r="O18" s="6" t="s">
        <v>106</v>
      </c>
    </row>
    <row r="19" spans="1:15" ht="102" customHeight="1" x14ac:dyDescent="0.25">
      <c r="A19" s="9" t="s">
        <v>107</v>
      </c>
      <c r="B19" s="2" t="s">
        <v>108</v>
      </c>
      <c r="C19" s="14" t="s">
        <v>97</v>
      </c>
      <c r="D19" s="2">
        <v>0.99</v>
      </c>
      <c r="E19" s="2">
        <v>0.98</v>
      </c>
      <c r="F19" s="2">
        <v>0.995</v>
      </c>
      <c r="G19" s="2" t="s">
        <v>98</v>
      </c>
      <c r="H19" s="2" t="s">
        <v>99</v>
      </c>
      <c r="I19" s="4">
        <f t="shared" si="0"/>
        <v>668.37038399999926</v>
      </c>
      <c r="J19" s="4">
        <f t="shared" si="1"/>
        <v>6.7512160000000359</v>
      </c>
      <c r="K19" s="2" t="s">
        <v>100</v>
      </c>
      <c r="L19" s="2" t="s">
        <v>101</v>
      </c>
      <c r="M19" s="2" t="s">
        <v>66</v>
      </c>
      <c r="N19" s="13" t="s">
        <v>109</v>
      </c>
      <c r="O19" s="2" t="s">
        <v>110</v>
      </c>
    </row>
    <row r="20" spans="1:15" ht="102" customHeight="1" x14ac:dyDescent="0.25">
      <c r="A20" s="9" t="s">
        <v>111</v>
      </c>
      <c r="B20" s="6" t="s">
        <v>112</v>
      </c>
      <c r="C20" s="14" t="s">
        <v>97</v>
      </c>
      <c r="D20" s="6">
        <v>0.98</v>
      </c>
      <c r="E20" s="6">
        <v>0.96</v>
      </c>
      <c r="F20" s="6">
        <v>0.99299999999999999</v>
      </c>
      <c r="G20" s="6" t="s">
        <v>98</v>
      </c>
      <c r="H20" s="6" t="s">
        <v>99</v>
      </c>
      <c r="I20" s="4">
        <f t="shared" si="0"/>
        <v>270.05563930211179</v>
      </c>
      <c r="J20" s="4">
        <f t="shared" si="1"/>
        <v>5.5113395775941241</v>
      </c>
      <c r="K20" s="6" t="s">
        <v>100</v>
      </c>
      <c r="L20" s="6" t="s">
        <v>101</v>
      </c>
      <c r="M20" s="6" t="s">
        <v>66</v>
      </c>
      <c r="N20" s="13" t="s">
        <v>109</v>
      </c>
      <c r="O20" s="6" t="s">
        <v>113</v>
      </c>
    </row>
    <row r="21" spans="1:15" ht="153" customHeight="1" x14ac:dyDescent="0.25">
      <c r="A21" s="9" t="s">
        <v>114</v>
      </c>
      <c r="B21" s="2" t="s">
        <v>115</v>
      </c>
      <c r="C21" s="14" t="s">
        <v>97</v>
      </c>
      <c r="D21" s="2">
        <v>0.93300000000000005</v>
      </c>
      <c r="E21" s="2">
        <v>0.90500000000000003</v>
      </c>
      <c r="F21" s="2">
        <v>0.95499999999999996</v>
      </c>
      <c r="G21" s="2" t="s">
        <v>98</v>
      </c>
      <c r="H21" s="2" t="s">
        <v>99</v>
      </c>
      <c r="I21" s="4">
        <f t="shared" si="0"/>
        <v>357.55136214528073</v>
      </c>
      <c r="J21" s="4">
        <f t="shared" si="1"/>
        <v>25.676250014720061</v>
      </c>
      <c r="K21" s="2" t="s">
        <v>100</v>
      </c>
      <c r="L21" s="2" t="s">
        <v>101</v>
      </c>
      <c r="M21" s="2" t="s">
        <v>66</v>
      </c>
      <c r="N21" s="13" t="s">
        <v>102</v>
      </c>
      <c r="O21" s="2" t="s">
        <v>116</v>
      </c>
    </row>
    <row r="22" spans="1:15" ht="140.25" customHeight="1" x14ac:dyDescent="0.25">
      <c r="A22" s="9" t="s">
        <v>117</v>
      </c>
      <c r="B22" s="6" t="s">
        <v>118</v>
      </c>
      <c r="C22" s="15" t="s">
        <v>119</v>
      </c>
      <c r="D22" s="6">
        <v>75.3</v>
      </c>
      <c r="E22" s="6">
        <v>73.5</v>
      </c>
      <c r="F22" s="6">
        <v>80</v>
      </c>
      <c r="G22" s="6" t="s">
        <v>120</v>
      </c>
      <c r="H22" s="6" t="s">
        <v>30</v>
      </c>
      <c r="I22" s="2">
        <f t="shared" si="0"/>
        <v>2062.2217982485204</v>
      </c>
      <c r="J22" s="2">
        <f t="shared" si="1"/>
        <v>27.386743668639053</v>
      </c>
      <c r="K22" s="6" t="s">
        <v>121</v>
      </c>
      <c r="L22" s="6" t="s">
        <v>122</v>
      </c>
      <c r="M22" s="6" t="s">
        <v>66</v>
      </c>
      <c r="N22" s="5" t="s">
        <v>25</v>
      </c>
      <c r="O22" s="6" t="s">
        <v>123</v>
      </c>
    </row>
    <row r="23" spans="1:15" ht="127.5" customHeight="1" x14ac:dyDescent="0.25">
      <c r="A23" s="9" t="s">
        <v>124</v>
      </c>
      <c r="B23" s="2" t="s">
        <v>125</v>
      </c>
      <c r="C23" s="15" t="s">
        <v>119</v>
      </c>
      <c r="D23" s="2">
        <v>800</v>
      </c>
      <c r="E23" s="16">
        <v>600</v>
      </c>
      <c r="F23" s="16">
        <v>1000</v>
      </c>
      <c r="G23" s="2" t="s">
        <v>126</v>
      </c>
      <c r="H23" s="2" t="s">
        <v>30</v>
      </c>
      <c r="I23" s="2">
        <f t="shared" si="0"/>
        <v>61.465599999999988</v>
      </c>
      <c r="J23" s="2">
        <f t="shared" si="1"/>
        <v>7.6831999999999984E-2</v>
      </c>
      <c r="K23" s="2" t="s">
        <v>127</v>
      </c>
      <c r="L23" s="2" t="s">
        <v>128</v>
      </c>
      <c r="M23" s="2" t="s">
        <v>66</v>
      </c>
      <c r="N23" s="13" t="s">
        <v>129</v>
      </c>
      <c r="O23" s="2" t="s">
        <v>130</v>
      </c>
    </row>
    <row r="24" spans="1:15" ht="140.25" customHeight="1" x14ac:dyDescent="0.25">
      <c r="A24" s="9" t="s">
        <v>131</v>
      </c>
      <c r="B24" s="6" t="s">
        <v>132</v>
      </c>
      <c r="C24" s="15" t="s">
        <v>119</v>
      </c>
      <c r="D24" s="6">
        <v>400</v>
      </c>
      <c r="E24" s="17">
        <v>327</v>
      </c>
      <c r="F24" s="17">
        <v>550</v>
      </c>
      <c r="G24" s="6" t="s">
        <v>120</v>
      </c>
      <c r="H24" s="6" t="s">
        <v>30</v>
      </c>
      <c r="I24" s="4">
        <f t="shared" si="0"/>
        <v>49.440447223953825</v>
      </c>
      <c r="J24" s="18">
        <f t="shared" si="1"/>
        <v>0.12360111805988455</v>
      </c>
      <c r="K24" s="6" t="s">
        <v>133</v>
      </c>
      <c r="L24" s="6" t="s">
        <v>122</v>
      </c>
      <c r="M24" s="6" t="s">
        <v>66</v>
      </c>
      <c r="N24" s="13" t="s">
        <v>134</v>
      </c>
      <c r="O24" s="6" t="s">
        <v>135</v>
      </c>
    </row>
    <row r="25" spans="1:15" ht="201" customHeight="1" x14ac:dyDescent="0.25">
      <c r="A25" s="9" t="s">
        <v>136</v>
      </c>
      <c r="B25" s="6" t="s">
        <v>137</v>
      </c>
      <c r="C25" s="15" t="s">
        <v>119</v>
      </c>
      <c r="D25" s="6">
        <v>319.10000000000002</v>
      </c>
      <c r="E25" s="17">
        <v>300</v>
      </c>
      <c r="F25" s="17">
        <v>330</v>
      </c>
      <c r="G25" s="6" t="s">
        <v>120</v>
      </c>
      <c r="H25" s="6" t="s">
        <v>30</v>
      </c>
      <c r="I25" s="4">
        <v>1738.53417820445</v>
      </c>
      <c r="J25" s="18">
        <v>5.4482424888888898</v>
      </c>
      <c r="K25" s="6" t="s">
        <v>138</v>
      </c>
      <c r="L25" s="6" t="s">
        <v>122</v>
      </c>
      <c r="M25" s="6" t="s">
        <v>66</v>
      </c>
      <c r="N25" s="13" t="s">
        <v>25</v>
      </c>
      <c r="O25" s="6" t="s">
        <v>139</v>
      </c>
    </row>
    <row r="26" spans="1:15" ht="140.25" customHeight="1" x14ac:dyDescent="0.25">
      <c r="A26" s="19" t="s">
        <v>140</v>
      </c>
      <c r="B26" s="20" t="s">
        <v>141</v>
      </c>
      <c r="C26" s="21" t="s">
        <v>119</v>
      </c>
      <c r="D26" s="20">
        <v>3500</v>
      </c>
      <c r="E26" s="22">
        <v>2500</v>
      </c>
      <c r="F26" s="22">
        <v>5000</v>
      </c>
      <c r="G26" s="20" t="s">
        <v>126</v>
      </c>
      <c r="H26" s="20" t="s">
        <v>30</v>
      </c>
      <c r="I26" s="23">
        <v>30.118144000000001</v>
      </c>
      <c r="J26" s="24">
        <v>8.6051840000000001E-3</v>
      </c>
      <c r="K26" s="20" t="s">
        <v>142</v>
      </c>
      <c r="L26" s="20" t="s">
        <v>143</v>
      </c>
      <c r="M26" s="6" t="s">
        <v>66</v>
      </c>
      <c r="N26" s="25" t="s">
        <v>134</v>
      </c>
      <c r="O26" s="20" t="s">
        <v>144</v>
      </c>
    </row>
  </sheetData>
  <mergeCells count="3">
    <mergeCell ref="A1:O1"/>
    <mergeCell ref="A2:O2"/>
    <mergeCell ref="A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F134"/>
  <sheetViews>
    <sheetView zoomScale="90" zoomScaleNormal="90" workbookViewId="0">
      <pane ySplit="5" topLeftCell="A108" activePane="bottomLeft" state="frozen"/>
      <selection pane="bottomLeft" activeCell="O120" sqref="O120"/>
    </sheetView>
  </sheetViews>
  <sheetFormatPr defaultColWidth="8.7109375" defaultRowHeight="15" x14ac:dyDescent="0.25"/>
  <cols>
    <col min="1" max="1" width="12.7109375" customWidth="1"/>
    <col min="2" max="2" width="46.140625" customWidth="1"/>
    <col min="3" max="3" width="25.85546875" customWidth="1"/>
    <col min="4" max="4" width="19.5703125" customWidth="1"/>
    <col min="5" max="5" width="20.5703125" customWidth="1"/>
    <col min="6" max="6" width="19.140625" customWidth="1"/>
    <col min="7" max="7" width="24.42578125" customWidth="1"/>
    <col min="8" max="8" width="28" customWidth="1"/>
    <col min="9" max="9" width="24.28515625" customWidth="1"/>
    <col min="10" max="10" width="20" customWidth="1"/>
    <col min="11" max="11" width="14" customWidth="1"/>
    <col min="12" max="12" width="28.7109375" customWidth="1"/>
    <col min="13" max="13" width="27.7109375" customWidth="1"/>
    <col min="14" max="14" width="27.85546875" customWidth="1"/>
    <col min="15" max="15" width="24" customWidth="1"/>
    <col min="19" max="19" width="18.85546875" customWidth="1"/>
    <col min="20" max="20" width="16.28515625" customWidth="1"/>
    <col min="21" max="21" width="18.28515625" customWidth="1"/>
    <col min="22" max="22" width="19.5703125" customWidth="1"/>
  </cols>
  <sheetData>
    <row r="1" spans="1:32" ht="18.600000000000001" customHeight="1" x14ac:dyDescent="0.25">
      <c r="A1" s="144" t="s">
        <v>145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32" ht="15" customHeight="1" x14ac:dyDescent="0.25">
      <c r="A2" s="145" t="s">
        <v>146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1:32" ht="15" customHeight="1" x14ac:dyDescent="0.25">
      <c r="A3" s="199" t="s">
        <v>147</v>
      </c>
      <c r="B3" s="199"/>
      <c r="C3" s="199"/>
      <c r="D3" s="199"/>
      <c r="E3" s="199"/>
      <c r="F3" s="199"/>
      <c r="G3" s="199"/>
      <c r="H3" s="199"/>
      <c r="I3" s="199"/>
      <c r="J3" s="199"/>
      <c r="K3" s="199"/>
      <c r="L3" s="199"/>
      <c r="M3" s="199"/>
      <c r="N3" s="199"/>
      <c r="O3" s="199"/>
    </row>
    <row r="5" spans="1:32" ht="15" customHeight="1" x14ac:dyDescent="0.25">
      <c r="A5" s="200" t="s">
        <v>148</v>
      </c>
      <c r="B5" s="200"/>
      <c r="C5" s="201" t="s">
        <v>149</v>
      </c>
      <c r="D5" s="201"/>
      <c r="E5" s="201"/>
      <c r="F5" s="201"/>
      <c r="G5" s="201"/>
      <c r="H5" s="201"/>
      <c r="I5" s="201"/>
      <c r="J5" s="201"/>
      <c r="K5" s="202" t="s">
        <v>150</v>
      </c>
      <c r="L5" s="202"/>
      <c r="M5" s="202"/>
      <c r="N5" s="149"/>
      <c r="O5" s="149"/>
    </row>
    <row r="6" spans="1:32" ht="15" customHeight="1" x14ac:dyDescent="0.25">
      <c r="A6" s="190" t="s">
        <v>151</v>
      </c>
      <c r="B6" s="190"/>
      <c r="C6" s="190"/>
      <c r="D6" s="190"/>
      <c r="E6" s="190"/>
      <c r="F6" s="190"/>
      <c r="G6" s="190"/>
      <c r="H6" s="190"/>
      <c r="I6" s="190"/>
      <c r="J6" s="190"/>
      <c r="K6" s="190"/>
      <c r="L6" s="190"/>
      <c r="M6" s="190"/>
      <c r="N6" s="190"/>
      <c r="O6" s="190"/>
    </row>
    <row r="7" spans="1:32" ht="25.5" customHeight="1" x14ac:dyDescent="0.25">
      <c r="A7" s="1" t="s">
        <v>152</v>
      </c>
      <c r="B7" s="1" t="s">
        <v>4</v>
      </c>
      <c r="C7" s="1" t="s">
        <v>9</v>
      </c>
      <c r="D7" s="1" t="s">
        <v>153</v>
      </c>
      <c r="E7" s="1" t="s">
        <v>154</v>
      </c>
      <c r="F7" s="1" t="s">
        <v>155</v>
      </c>
      <c r="G7" s="1" t="s">
        <v>156</v>
      </c>
      <c r="H7" s="1" t="s">
        <v>157</v>
      </c>
      <c r="I7" s="1" t="s">
        <v>158</v>
      </c>
      <c r="J7" s="1" t="s">
        <v>159</v>
      </c>
      <c r="K7" s="1" t="s">
        <v>160</v>
      </c>
      <c r="L7" s="1" t="s">
        <v>161</v>
      </c>
      <c r="M7" s="1" t="s">
        <v>162</v>
      </c>
      <c r="N7" s="1" t="s">
        <v>16</v>
      </c>
      <c r="O7" s="1" t="s">
        <v>17</v>
      </c>
    </row>
    <row r="8" spans="1:32" ht="150" customHeight="1" x14ac:dyDescent="0.25">
      <c r="A8" s="26" t="s">
        <v>33</v>
      </c>
      <c r="B8" s="2" t="s">
        <v>163</v>
      </c>
      <c r="C8" s="27" t="s">
        <v>36</v>
      </c>
      <c r="D8" s="28">
        <v>0.12</v>
      </c>
      <c r="E8" s="28" t="s">
        <v>164</v>
      </c>
      <c r="F8" s="28" t="s">
        <v>165</v>
      </c>
      <c r="G8" s="29" t="s">
        <v>166</v>
      </c>
      <c r="H8" s="30" t="s">
        <v>167</v>
      </c>
      <c r="I8" s="28" t="s">
        <v>168</v>
      </c>
      <c r="J8" s="28" t="s">
        <v>169</v>
      </c>
      <c r="K8" s="31">
        <f>-LN(1-D8)</f>
        <v>0.12783337150988489</v>
      </c>
      <c r="L8" s="28"/>
      <c r="M8" s="28"/>
      <c r="N8" s="32" t="s">
        <v>170</v>
      </c>
      <c r="O8" s="2" t="s">
        <v>171</v>
      </c>
      <c r="S8" s="195" t="s">
        <v>172</v>
      </c>
      <c r="T8" s="195"/>
      <c r="U8" s="195"/>
      <c r="V8" s="195"/>
    </row>
    <row r="9" spans="1:32" ht="102" customHeight="1" x14ac:dyDescent="0.25">
      <c r="A9" s="33" t="s">
        <v>41</v>
      </c>
      <c r="B9" s="6" t="s">
        <v>173</v>
      </c>
      <c r="C9" s="34" t="s">
        <v>36</v>
      </c>
      <c r="D9" s="35" t="s">
        <v>174</v>
      </c>
      <c r="E9" s="35"/>
      <c r="F9" s="35"/>
      <c r="G9" s="29" t="s">
        <v>175</v>
      </c>
      <c r="H9" s="30" t="s">
        <v>176</v>
      </c>
      <c r="I9" s="28" t="s">
        <v>177</v>
      </c>
      <c r="J9" s="28"/>
      <c r="K9" s="31"/>
      <c r="L9" s="35"/>
      <c r="M9" s="35"/>
      <c r="N9" s="32" t="s">
        <v>178</v>
      </c>
      <c r="O9" s="6" t="s">
        <v>179</v>
      </c>
      <c r="S9" s="1" t="s">
        <v>180</v>
      </c>
      <c r="T9" s="1" t="s">
        <v>181</v>
      </c>
      <c r="U9" s="1" t="s">
        <v>182</v>
      </c>
      <c r="V9" s="1" t="s">
        <v>183</v>
      </c>
    </row>
    <row r="10" spans="1:32" ht="153" customHeight="1" x14ac:dyDescent="0.25">
      <c r="A10" s="26" t="s">
        <v>45</v>
      </c>
      <c r="B10" s="2" t="s">
        <v>184</v>
      </c>
      <c r="C10" s="27" t="s">
        <v>36</v>
      </c>
      <c r="D10" s="28">
        <v>7.0000000000000007E-2</v>
      </c>
      <c r="E10" s="28" t="s">
        <v>185</v>
      </c>
      <c r="F10" s="28" t="s">
        <v>165</v>
      </c>
      <c r="G10" s="29" t="s">
        <v>186</v>
      </c>
      <c r="H10" s="30" t="s">
        <v>187</v>
      </c>
      <c r="I10" s="28" t="s">
        <v>168</v>
      </c>
      <c r="J10" s="28" t="s">
        <v>169</v>
      </c>
      <c r="K10" s="31">
        <f>-LN(1-D10)</f>
        <v>7.2570692834835498E-2</v>
      </c>
      <c r="L10" s="28"/>
      <c r="M10" s="28"/>
      <c r="N10" s="32" t="s">
        <v>188</v>
      </c>
      <c r="O10" s="2" t="s">
        <v>189</v>
      </c>
      <c r="S10" s="26" t="s">
        <v>190</v>
      </c>
      <c r="T10" s="36" t="s">
        <v>191</v>
      </c>
      <c r="U10" s="37" t="s">
        <v>192</v>
      </c>
      <c r="V10" s="29" t="s">
        <v>193</v>
      </c>
    </row>
    <row r="11" spans="1:32" ht="153" customHeight="1" x14ac:dyDescent="0.25">
      <c r="A11" s="26" t="s">
        <v>68</v>
      </c>
      <c r="B11" s="2" t="s">
        <v>194</v>
      </c>
      <c r="C11" s="27" t="s">
        <v>56</v>
      </c>
      <c r="D11" s="28">
        <v>2.11</v>
      </c>
      <c r="E11" s="28" t="s">
        <v>195</v>
      </c>
      <c r="F11" s="28" t="s">
        <v>165</v>
      </c>
      <c r="G11" s="29" t="s">
        <v>196</v>
      </c>
      <c r="H11" s="30" t="s">
        <v>197</v>
      </c>
      <c r="I11" s="28" t="s">
        <v>198</v>
      </c>
      <c r="J11" s="28"/>
      <c r="K11" s="31"/>
      <c r="L11" s="28"/>
      <c r="M11" s="28"/>
      <c r="N11" s="32" t="s">
        <v>199</v>
      </c>
      <c r="O11" s="2"/>
      <c r="S11" s="33" t="s">
        <v>200</v>
      </c>
      <c r="T11" s="38" t="s">
        <v>201</v>
      </c>
      <c r="U11" s="39" t="s">
        <v>202</v>
      </c>
      <c r="V11" s="40" t="s">
        <v>203</v>
      </c>
    </row>
    <row r="12" spans="1:32" ht="153" customHeight="1" x14ac:dyDescent="0.25">
      <c r="A12" s="33" t="s">
        <v>82</v>
      </c>
      <c r="B12" s="6" t="s">
        <v>83</v>
      </c>
      <c r="C12" s="34" t="s">
        <v>204</v>
      </c>
      <c r="D12" s="35" t="s">
        <v>205</v>
      </c>
      <c r="E12" s="35"/>
      <c r="F12" s="28"/>
      <c r="G12" s="29" t="s">
        <v>206</v>
      </c>
      <c r="H12" s="30" t="s">
        <v>207</v>
      </c>
      <c r="I12" s="28" t="s">
        <v>168</v>
      </c>
      <c r="J12" s="28" t="s">
        <v>208</v>
      </c>
      <c r="K12" s="31">
        <f>0.98^10</f>
        <v>0.81707280688754658</v>
      </c>
      <c r="L12" s="35"/>
      <c r="M12" s="35"/>
      <c r="N12" s="32" t="s">
        <v>170</v>
      </c>
      <c r="O12" s="6" t="s">
        <v>209</v>
      </c>
      <c r="S12" s="26" t="s">
        <v>210</v>
      </c>
      <c r="T12" s="36" t="s">
        <v>211</v>
      </c>
      <c r="U12" s="37" t="s">
        <v>212</v>
      </c>
      <c r="V12" s="29" t="s">
        <v>213</v>
      </c>
    </row>
    <row r="13" spans="1:32" ht="140.25" customHeight="1" x14ac:dyDescent="0.25">
      <c r="A13" s="26" t="s">
        <v>33</v>
      </c>
      <c r="B13" s="2" t="s">
        <v>163</v>
      </c>
      <c r="C13" s="27" t="s">
        <v>36</v>
      </c>
      <c r="D13" s="28">
        <v>0.12</v>
      </c>
      <c r="E13" s="28" t="s">
        <v>164</v>
      </c>
      <c r="F13" s="28" t="s">
        <v>165</v>
      </c>
      <c r="G13" s="29" t="s">
        <v>214</v>
      </c>
      <c r="H13" s="30" t="s">
        <v>215</v>
      </c>
      <c r="I13" s="28" t="s">
        <v>168</v>
      </c>
      <c r="J13" s="28" t="s">
        <v>169</v>
      </c>
      <c r="K13" s="31">
        <f>-LN(1-D13)</f>
        <v>0.12783337150988489</v>
      </c>
      <c r="L13" s="28"/>
      <c r="M13" s="28"/>
      <c r="N13" s="32" t="s">
        <v>170</v>
      </c>
      <c r="O13" s="2" t="s">
        <v>216</v>
      </c>
      <c r="S13" s="33" t="s">
        <v>217</v>
      </c>
      <c r="T13" s="38" t="s">
        <v>218</v>
      </c>
      <c r="U13" s="39" t="s">
        <v>219</v>
      </c>
      <c r="V13" s="40" t="s">
        <v>220</v>
      </c>
    </row>
    <row r="14" spans="1:32" ht="127.5" customHeight="1" x14ac:dyDescent="0.25">
      <c r="A14" s="33" t="s">
        <v>41</v>
      </c>
      <c r="B14" s="6" t="s">
        <v>173</v>
      </c>
      <c r="C14" s="34" t="s">
        <v>36</v>
      </c>
      <c r="D14" s="35" t="s">
        <v>174</v>
      </c>
      <c r="E14" s="35"/>
      <c r="F14" s="35"/>
      <c r="G14" s="29" t="s">
        <v>175</v>
      </c>
      <c r="H14" s="30" t="s">
        <v>221</v>
      </c>
      <c r="I14" s="28"/>
      <c r="J14" s="28"/>
      <c r="K14" s="31"/>
      <c r="L14" s="35"/>
      <c r="M14" s="35"/>
      <c r="N14" s="32" t="s">
        <v>178</v>
      </c>
      <c r="O14" s="6"/>
      <c r="S14" s="26" t="s">
        <v>222</v>
      </c>
      <c r="T14" s="36" t="s">
        <v>223</v>
      </c>
      <c r="U14" s="37" t="s">
        <v>224</v>
      </c>
      <c r="V14" s="29" t="s">
        <v>225</v>
      </c>
    </row>
    <row r="15" spans="1:32" ht="127.5" customHeight="1" x14ac:dyDescent="0.25">
      <c r="A15" s="26" t="s">
        <v>45</v>
      </c>
      <c r="B15" s="2" t="s">
        <v>184</v>
      </c>
      <c r="C15" s="27" t="s">
        <v>36</v>
      </c>
      <c r="D15" s="28">
        <v>0.03</v>
      </c>
      <c r="E15" s="28" t="s">
        <v>226</v>
      </c>
      <c r="F15" s="28" t="s">
        <v>165</v>
      </c>
      <c r="G15" s="29" t="s">
        <v>227</v>
      </c>
      <c r="H15" s="30" t="s">
        <v>228</v>
      </c>
      <c r="I15" s="28" t="s">
        <v>168</v>
      </c>
      <c r="J15" s="28" t="s">
        <v>169</v>
      </c>
      <c r="K15" s="31">
        <f>-LN(1-D15)</f>
        <v>3.0459207484708574E-2</v>
      </c>
      <c r="L15" s="28"/>
      <c r="M15" s="28"/>
      <c r="N15" s="32" t="s">
        <v>188</v>
      </c>
      <c r="O15" s="2" t="s">
        <v>229</v>
      </c>
      <c r="S15" s="33" t="s">
        <v>230</v>
      </c>
      <c r="T15" s="38" t="s">
        <v>231</v>
      </c>
      <c r="U15" s="39" t="s">
        <v>232</v>
      </c>
      <c r="V15" s="40" t="s">
        <v>233</v>
      </c>
    </row>
    <row r="16" spans="1:32" ht="102" customHeight="1" x14ac:dyDescent="0.25">
      <c r="A16" s="26" t="s">
        <v>68</v>
      </c>
      <c r="B16" s="2" t="s">
        <v>194</v>
      </c>
      <c r="C16" s="27" t="s">
        <v>56</v>
      </c>
      <c r="D16" s="28">
        <v>2.2000000000000002</v>
      </c>
      <c r="E16" s="28" t="s">
        <v>234</v>
      </c>
      <c r="F16" s="28"/>
      <c r="G16" s="29" t="s">
        <v>235</v>
      </c>
      <c r="H16" s="30" t="s">
        <v>236</v>
      </c>
      <c r="I16" s="28"/>
      <c r="J16" s="28"/>
      <c r="K16" s="31"/>
      <c r="L16" s="28"/>
      <c r="M16" s="28"/>
      <c r="N16" s="32" t="s">
        <v>199</v>
      </c>
      <c r="O16" s="2" t="s">
        <v>237</v>
      </c>
      <c r="S16" s="41" t="s">
        <v>238</v>
      </c>
      <c r="T16" s="42"/>
      <c r="U16" s="43" t="s">
        <v>239</v>
      </c>
      <c r="V16" s="44"/>
      <c r="AE16" s="44"/>
      <c r="AF16" s="44"/>
    </row>
    <row r="17" spans="1:15" ht="22.5" customHeight="1" x14ac:dyDescent="0.25">
      <c r="A17" s="33" t="s">
        <v>82</v>
      </c>
      <c r="B17" s="6" t="s">
        <v>83</v>
      </c>
      <c r="C17" s="34" t="s">
        <v>204</v>
      </c>
      <c r="D17" s="35" t="s">
        <v>240</v>
      </c>
      <c r="E17" s="35"/>
      <c r="F17" s="28"/>
      <c r="G17" s="29" t="s">
        <v>235</v>
      </c>
      <c r="H17" s="30" t="s">
        <v>241</v>
      </c>
      <c r="I17" s="28"/>
      <c r="J17" s="28"/>
      <c r="K17" s="31"/>
      <c r="L17" s="35"/>
      <c r="M17" s="35"/>
      <c r="N17" s="32" t="s">
        <v>170</v>
      </c>
      <c r="O17" s="6"/>
    </row>
    <row r="19" spans="1:15" ht="15" customHeight="1" x14ac:dyDescent="0.25">
      <c r="A19" s="196" t="s">
        <v>242</v>
      </c>
      <c r="B19" s="196"/>
      <c r="C19" s="197" t="s">
        <v>243</v>
      </c>
      <c r="D19" s="197"/>
      <c r="E19" s="197"/>
      <c r="F19" s="197"/>
      <c r="G19" s="197"/>
      <c r="H19" s="197"/>
      <c r="I19" s="197"/>
      <c r="J19" s="197"/>
      <c r="K19" s="198" t="s">
        <v>150</v>
      </c>
      <c r="L19" s="198"/>
      <c r="M19" s="198"/>
      <c r="N19" s="149"/>
      <c r="O19" s="149"/>
    </row>
    <row r="20" spans="1:15" ht="15" customHeight="1" x14ac:dyDescent="0.25">
      <c r="A20" s="190" t="s">
        <v>244</v>
      </c>
      <c r="B20" s="190"/>
      <c r="C20" s="190"/>
      <c r="D20" s="190"/>
      <c r="E20" s="190"/>
      <c r="F20" s="190"/>
      <c r="G20" s="190"/>
      <c r="H20" s="190"/>
      <c r="I20" s="190"/>
      <c r="J20" s="190"/>
      <c r="K20" s="190"/>
      <c r="L20" s="190"/>
      <c r="M20" s="190"/>
      <c r="N20" s="190"/>
      <c r="O20" s="190"/>
    </row>
    <row r="21" spans="1:15" ht="25.5" customHeight="1" x14ac:dyDescent="0.25">
      <c r="A21" s="1" t="s">
        <v>152</v>
      </c>
      <c r="B21" s="1" t="s">
        <v>4</v>
      </c>
      <c r="C21" s="1" t="s">
        <v>9</v>
      </c>
      <c r="D21" s="1" t="s">
        <v>153</v>
      </c>
      <c r="E21" s="1" t="s">
        <v>154</v>
      </c>
      <c r="F21" s="1" t="s">
        <v>155</v>
      </c>
      <c r="G21" s="1" t="s">
        <v>156</v>
      </c>
      <c r="H21" s="1" t="s">
        <v>245</v>
      </c>
      <c r="I21" s="1" t="s">
        <v>158</v>
      </c>
      <c r="J21" s="1" t="s">
        <v>159</v>
      </c>
      <c r="K21" s="1" t="s">
        <v>160</v>
      </c>
      <c r="L21" s="1" t="s">
        <v>161</v>
      </c>
      <c r="M21" s="1" t="s">
        <v>162</v>
      </c>
      <c r="N21" s="1" t="s">
        <v>16</v>
      </c>
      <c r="O21" s="1" t="s">
        <v>17</v>
      </c>
    </row>
    <row r="22" spans="1:15" ht="76.5" customHeight="1" x14ac:dyDescent="0.25">
      <c r="A22" s="26" t="s">
        <v>45</v>
      </c>
      <c r="B22" s="2" t="s">
        <v>184</v>
      </c>
      <c r="C22" s="27" t="s">
        <v>36</v>
      </c>
      <c r="D22" s="28">
        <v>5.0000000000000001E-3</v>
      </c>
      <c r="E22" s="28"/>
      <c r="F22" s="28"/>
      <c r="G22" s="29" t="s">
        <v>246</v>
      </c>
      <c r="H22" s="28" t="s">
        <v>247</v>
      </c>
      <c r="I22" s="28" t="s">
        <v>168</v>
      </c>
      <c r="J22" s="28" t="s">
        <v>169</v>
      </c>
      <c r="K22" s="45">
        <f>-LN(1-D22)</f>
        <v>5.0125418235442863E-3</v>
      </c>
      <c r="L22" s="28"/>
      <c r="M22" s="28"/>
      <c r="N22" s="32" t="s">
        <v>248</v>
      </c>
      <c r="O22" s="2" t="s">
        <v>249</v>
      </c>
    </row>
    <row r="23" spans="1:15" ht="90" customHeight="1" x14ac:dyDescent="0.25">
      <c r="A23" s="26" t="s">
        <v>48</v>
      </c>
      <c r="B23" s="2" t="s">
        <v>250</v>
      </c>
      <c r="C23" s="27" t="s">
        <v>36</v>
      </c>
      <c r="D23" s="30" t="s">
        <v>251</v>
      </c>
      <c r="E23" s="28"/>
      <c r="F23" s="28"/>
      <c r="G23" s="29" t="s">
        <v>175</v>
      </c>
      <c r="H23" s="28" t="s">
        <v>252</v>
      </c>
      <c r="I23" s="28" t="s">
        <v>168</v>
      </c>
      <c r="J23" s="28" t="s">
        <v>169</v>
      </c>
      <c r="K23" s="46">
        <f>-LN(1-0.16)/40</f>
        <v>4.3588346786194452E-3</v>
      </c>
      <c r="L23" s="28">
        <v>2.2000000000000001E-3</v>
      </c>
      <c r="M23" s="28">
        <v>7.62E-3</v>
      </c>
      <c r="N23" s="32" t="s">
        <v>170</v>
      </c>
      <c r="O23" s="2" t="s">
        <v>253</v>
      </c>
    </row>
    <row r="24" spans="1:15" ht="90" customHeight="1" x14ac:dyDescent="0.25">
      <c r="A24" s="26" t="s">
        <v>68</v>
      </c>
      <c r="B24" s="2" t="s">
        <v>194</v>
      </c>
      <c r="C24" s="27" t="s">
        <v>254</v>
      </c>
      <c r="D24" s="28">
        <v>1.63</v>
      </c>
      <c r="E24" s="28" t="s">
        <v>255</v>
      </c>
      <c r="F24" s="28" t="s">
        <v>165</v>
      </c>
      <c r="G24" s="29" t="s">
        <v>256</v>
      </c>
      <c r="H24" s="28" t="s">
        <v>257</v>
      </c>
      <c r="I24" s="28" t="s">
        <v>198</v>
      </c>
      <c r="J24" s="28"/>
      <c r="K24" s="28"/>
      <c r="L24" s="28"/>
      <c r="M24" s="28"/>
      <c r="N24" s="32" t="s">
        <v>170</v>
      </c>
      <c r="O24" s="2" t="s">
        <v>258</v>
      </c>
    </row>
    <row r="25" spans="1:15" ht="75" customHeight="1" x14ac:dyDescent="0.25">
      <c r="A25" s="33" t="s">
        <v>89</v>
      </c>
      <c r="B25" s="6" t="s">
        <v>90</v>
      </c>
      <c r="C25" s="34" t="s">
        <v>254</v>
      </c>
      <c r="D25" s="35">
        <v>1.94</v>
      </c>
      <c r="E25" s="35" t="s">
        <v>259</v>
      </c>
      <c r="F25" s="35" t="s">
        <v>165</v>
      </c>
      <c r="G25" s="40" t="s">
        <v>260</v>
      </c>
      <c r="H25" s="35" t="s">
        <v>261</v>
      </c>
      <c r="I25" s="35" t="s">
        <v>198</v>
      </c>
      <c r="J25" s="35"/>
      <c r="K25" s="35"/>
      <c r="L25" s="35"/>
      <c r="M25" s="35"/>
      <c r="N25" s="32" t="s">
        <v>170</v>
      </c>
      <c r="O25" s="6" t="s">
        <v>262</v>
      </c>
    </row>
    <row r="27" spans="1:15" ht="15" customHeight="1" x14ac:dyDescent="0.25">
      <c r="A27" s="192" t="s">
        <v>263</v>
      </c>
      <c r="B27" s="192"/>
      <c r="C27" s="193" t="s">
        <v>264</v>
      </c>
      <c r="D27" s="193"/>
      <c r="E27" s="193"/>
      <c r="F27" s="193"/>
      <c r="G27" s="193"/>
      <c r="H27" s="193"/>
      <c r="I27" s="193"/>
      <c r="J27" s="193"/>
      <c r="K27" s="194" t="s">
        <v>265</v>
      </c>
      <c r="L27" s="194"/>
      <c r="M27" s="194"/>
      <c r="N27" s="149"/>
      <c r="O27" s="149"/>
    </row>
    <row r="28" spans="1:15" ht="15" customHeight="1" x14ac:dyDescent="0.25">
      <c r="A28" s="190" t="s">
        <v>266</v>
      </c>
      <c r="B28" s="190"/>
      <c r="C28" s="190"/>
      <c r="D28" s="190"/>
      <c r="E28" s="190"/>
      <c r="F28" s="190"/>
      <c r="G28" s="190"/>
      <c r="H28" s="190"/>
      <c r="I28" s="190"/>
      <c r="J28" s="190"/>
      <c r="K28" s="190"/>
      <c r="L28" s="190"/>
      <c r="M28" s="190"/>
      <c r="N28" s="190"/>
      <c r="O28" s="190"/>
    </row>
    <row r="29" spans="1:15" ht="25.5" customHeight="1" x14ac:dyDescent="0.25">
      <c r="A29" s="1" t="s">
        <v>152</v>
      </c>
      <c r="B29" s="1" t="s">
        <v>4</v>
      </c>
      <c r="C29" s="1" t="s">
        <v>9</v>
      </c>
      <c r="D29" s="1" t="s">
        <v>153</v>
      </c>
      <c r="E29" s="1" t="s">
        <v>154</v>
      </c>
      <c r="F29" s="1" t="s">
        <v>155</v>
      </c>
      <c r="G29" s="1" t="s">
        <v>156</v>
      </c>
      <c r="H29" s="1" t="s">
        <v>245</v>
      </c>
      <c r="I29" s="1" t="s">
        <v>158</v>
      </c>
      <c r="J29" s="1" t="s">
        <v>159</v>
      </c>
      <c r="K29" s="1" t="s">
        <v>160</v>
      </c>
      <c r="L29" s="1" t="s">
        <v>161</v>
      </c>
      <c r="M29" s="1" t="s">
        <v>162</v>
      </c>
      <c r="N29" s="1" t="s">
        <v>16</v>
      </c>
      <c r="O29" s="1" t="s">
        <v>17</v>
      </c>
    </row>
    <row r="30" spans="1:15" ht="178.5" customHeight="1" x14ac:dyDescent="0.25">
      <c r="A30" s="26" t="s">
        <v>18</v>
      </c>
      <c r="B30" s="2" t="s">
        <v>267</v>
      </c>
      <c r="C30" s="27" t="s">
        <v>21</v>
      </c>
      <c r="D30" s="28" t="s">
        <v>268</v>
      </c>
      <c r="E30" s="28" t="s">
        <v>269</v>
      </c>
      <c r="F30" s="35" t="s">
        <v>270</v>
      </c>
      <c r="G30" s="29" t="s">
        <v>271</v>
      </c>
      <c r="H30" s="28" t="s">
        <v>272</v>
      </c>
      <c r="I30" s="28" t="s">
        <v>198</v>
      </c>
      <c r="J30" s="28"/>
      <c r="K30" s="28"/>
      <c r="L30" s="28"/>
      <c r="M30" s="28"/>
      <c r="N30" s="32" t="s">
        <v>273</v>
      </c>
      <c r="O30" s="2" t="s">
        <v>274</v>
      </c>
    </row>
    <row r="31" spans="1:15" ht="216.75" customHeight="1" x14ac:dyDescent="0.25">
      <c r="A31" s="33" t="s">
        <v>27</v>
      </c>
      <c r="B31" s="6" t="s">
        <v>28</v>
      </c>
      <c r="C31" s="34" t="s">
        <v>29</v>
      </c>
      <c r="D31" s="35" t="s">
        <v>275</v>
      </c>
      <c r="E31" s="35" t="s">
        <v>276</v>
      </c>
      <c r="F31" s="35" t="s">
        <v>270</v>
      </c>
      <c r="G31" s="40" t="s">
        <v>277</v>
      </c>
      <c r="H31" s="35" t="s">
        <v>278</v>
      </c>
      <c r="I31" s="35" t="s">
        <v>198</v>
      </c>
      <c r="J31" s="35"/>
      <c r="K31" s="35"/>
      <c r="L31" s="35"/>
      <c r="M31" s="35"/>
      <c r="N31" s="32" t="s">
        <v>273</v>
      </c>
      <c r="O31" s="6" t="s">
        <v>279</v>
      </c>
    </row>
    <row r="32" spans="1:15" ht="89.25" customHeight="1" x14ac:dyDescent="0.25">
      <c r="A32" s="26" t="s">
        <v>33</v>
      </c>
      <c r="B32" s="2" t="s">
        <v>163</v>
      </c>
      <c r="C32" s="27" t="s">
        <v>36</v>
      </c>
      <c r="D32" s="28" t="s">
        <v>280</v>
      </c>
      <c r="E32" s="28"/>
      <c r="F32" s="28"/>
      <c r="G32" s="29" t="s">
        <v>281</v>
      </c>
      <c r="H32" s="28" t="s">
        <v>282</v>
      </c>
      <c r="I32" s="28"/>
      <c r="J32" s="28"/>
      <c r="K32" s="28"/>
      <c r="L32" s="28"/>
      <c r="M32" s="28"/>
      <c r="N32" s="32" t="s">
        <v>283</v>
      </c>
      <c r="O32" s="2" t="s">
        <v>284</v>
      </c>
    </row>
    <row r="33" spans="1:15" ht="229.5" customHeight="1" x14ac:dyDescent="0.25">
      <c r="A33" s="26" t="s">
        <v>68</v>
      </c>
      <c r="B33" s="2" t="s">
        <v>194</v>
      </c>
      <c r="C33" s="27" t="s">
        <v>56</v>
      </c>
      <c r="D33" s="28" t="s">
        <v>285</v>
      </c>
      <c r="E33" s="28"/>
      <c r="F33" s="28"/>
      <c r="G33" s="29" t="s">
        <v>286</v>
      </c>
      <c r="H33" s="28" t="s">
        <v>287</v>
      </c>
      <c r="I33" s="28"/>
      <c r="J33" s="28"/>
      <c r="K33" s="28"/>
      <c r="L33" s="28"/>
      <c r="M33" s="28"/>
      <c r="N33" s="32" t="s">
        <v>288</v>
      </c>
      <c r="O33" s="2" t="s">
        <v>289</v>
      </c>
    </row>
    <row r="34" spans="1:15" ht="395.25" customHeight="1" x14ac:dyDescent="0.25">
      <c r="A34" s="33" t="s">
        <v>82</v>
      </c>
      <c r="B34" s="6" t="s">
        <v>83</v>
      </c>
      <c r="C34" s="34" t="s">
        <v>77</v>
      </c>
      <c r="D34" s="35" t="s">
        <v>290</v>
      </c>
      <c r="E34" s="35" t="s">
        <v>291</v>
      </c>
      <c r="F34" s="35" t="s">
        <v>270</v>
      </c>
      <c r="G34" s="40" t="s">
        <v>292</v>
      </c>
      <c r="H34" s="35" t="s">
        <v>293</v>
      </c>
      <c r="I34" s="35"/>
      <c r="J34" s="35"/>
      <c r="K34" s="35"/>
      <c r="L34" s="35"/>
      <c r="M34" s="35"/>
      <c r="N34" s="32" t="s">
        <v>294</v>
      </c>
      <c r="O34" s="6" t="s">
        <v>295</v>
      </c>
    </row>
    <row r="35" spans="1:15" ht="390" customHeight="1" x14ac:dyDescent="0.25">
      <c r="A35" s="47" t="s">
        <v>296</v>
      </c>
      <c r="B35" s="48" t="s">
        <v>297</v>
      </c>
      <c r="C35" s="48" t="s">
        <v>21</v>
      </c>
      <c r="D35" s="48" t="s">
        <v>298</v>
      </c>
      <c r="E35" s="48" t="s">
        <v>299</v>
      </c>
      <c r="F35" s="48" t="s">
        <v>270</v>
      </c>
      <c r="G35" s="48" t="s">
        <v>300</v>
      </c>
      <c r="H35" s="48" t="s">
        <v>301</v>
      </c>
      <c r="I35" s="48" t="s">
        <v>168</v>
      </c>
      <c r="J35" s="48" t="s">
        <v>302</v>
      </c>
      <c r="K35" s="48">
        <v>3.57</v>
      </c>
      <c r="L35" s="48"/>
      <c r="M35" s="48"/>
      <c r="N35" s="48" t="s">
        <v>303</v>
      </c>
      <c r="O35" s="48" t="s">
        <v>304</v>
      </c>
    </row>
    <row r="36" spans="1:15" x14ac:dyDescent="0.25">
      <c r="K36" s="149"/>
      <c r="L36" s="149"/>
      <c r="M36" s="149"/>
      <c r="N36" s="149"/>
      <c r="O36" s="149"/>
    </row>
    <row r="37" spans="1:15" x14ac:dyDescent="0.25">
      <c r="A37" s="149"/>
      <c r="B37" s="149"/>
      <c r="C37" s="149"/>
      <c r="D37" s="149"/>
      <c r="E37" s="149"/>
      <c r="F37" s="149"/>
      <c r="G37" s="149"/>
      <c r="H37" s="149"/>
      <c r="I37" s="149"/>
      <c r="J37" s="149"/>
      <c r="K37" s="149"/>
      <c r="L37" s="149"/>
      <c r="M37" s="149"/>
      <c r="N37" s="149"/>
      <c r="O37" s="149"/>
    </row>
    <row r="38" spans="1:15" ht="33" customHeight="1" x14ac:dyDescent="0.25">
      <c r="A38" s="167" t="s">
        <v>305</v>
      </c>
      <c r="B38" s="167"/>
      <c r="C38" s="191" t="s">
        <v>306</v>
      </c>
      <c r="D38" s="191"/>
      <c r="E38" s="191"/>
      <c r="F38" s="191"/>
      <c r="G38" s="191"/>
      <c r="H38" s="191"/>
      <c r="I38" s="191"/>
      <c r="J38" s="191"/>
      <c r="K38" s="169" t="s">
        <v>150</v>
      </c>
      <c r="L38" s="169"/>
      <c r="M38" s="169"/>
      <c r="N38" s="169"/>
      <c r="O38" s="169"/>
    </row>
    <row r="39" spans="1:15" ht="34.5" customHeight="1" x14ac:dyDescent="0.25">
      <c r="A39" s="164" t="s">
        <v>307</v>
      </c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  <c r="O39" s="164"/>
    </row>
    <row r="40" spans="1:15" ht="25.5" customHeight="1" x14ac:dyDescent="0.25">
      <c r="A40" s="1" t="s">
        <v>152</v>
      </c>
      <c r="B40" s="1" t="s">
        <v>4</v>
      </c>
      <c r="C40" s="1" t="s">
        <v>9</v>
      </c>
      <c r="D40" s="1" t="s">
        <v>153</v>
      </c>
      <c r="E40" s="1" t="s">
        <v>154</v>
      </c>
      <c r="F40" s="1" t="s">
        <v>155</v>
      </c>
      <c r="G40" s="1" t="s">
        <v>156</v>
      </c>
      <c r="H40" s="1" t="s">
        <v>245</v>
      </c>
      <c r="I40" s="1" t="s">
        <v>158</v>
      </c>
      <c r="J40" s="1" t="s">
        <v>159</v>
      </c>
      <c r="K40" s="1" t="s">
        <v>160</v>
      </c>
      <c r="L40" s="1" t="s">
        <v>161</v>
      </c>
      <c r="M40" s="1" t="s">
        <v>162</v>
      </c>
      <c r="N40" s="1" t="s">
        <v>16</v>
      </c>
      <c r="O40" s="1" t="s">
        <v>17</v>
      </c>
    </row>
    <row r="41" spans="1:15" ht="178.5" customHeight="1" x14ac:dyDescent="0.25">
      <c r="A41" s="33" t="s">
        <v>27</v>
      </c>
      <c r="B41" s="6" t="s">
        <v>28</v>
      </c>
      <c r="C41" s="34" t="s">
        <v>29</v>
      </c>
      <c r="D41" s="35" t="s">
        <v>308</v>
      </c>
      <c r="E41" s="35" t="s">
        <v>309</v>
      </c>
      <c r="F41" s="35"/>
      <c r="G41" s="40" t="s">
        <v>310</v>
      </c>
      <c r="H41" s="35" t="s">
        <v>311</v>
      </c>
      <c r="I41" s="35" t="s">
        <v>198</v>
      </c>
      <c r="J41" s="35"/>
      <c r="K41" s="35"/>
      <c r="L41" s="35"/>
      <c r="M41" s="35"/>
      <c r="N41" s="49" t="s">
        <v>312</v>
      </c>
      <c r="O41" s="6" t="s">
        <v>313</v>
      </c>
    </row>
    <row r="42" spans="1:15" ht="90" customHeight="1" x14ac:dyDescent="0.25">
      <c r="A42" s="33" t="s">
        <v>41</v>
      </c>
      <c r="B42" s="6" t="s">
        <v>173</v>
      </c>
      <c r="C42" s="34" t="s">
        <v>36</v>
      </c>
      <c r="D42" s="35"/>
      <c r="E42" s="35"/>
      <c r="F42" s="35"/>
      <c r="G42" s="40" t="s">
        <v>314</v>
      </c>
      <c r="H42" s="35" t="s">
        <v>315</v>
      </c>
      <c r="I42" s="35"/>
      <c r="J42" s="35"/>
      <c r="K42" s="35"/>
      <c r="L42" s="35"/>
      <c r="M42" s="35"/>
      <c r="N42" s="32" t="s">
        <v>316</v>
      </c>
      <c r="O42" s="6" t="s">
        <v>317</v>
      </c>
    </row>
    <row r="43" spans="1:15" ht="150" customHeight="1" x14ac:dyDescent="0.25">
      <c r="A43" s="26" t="s">
        <v>45</v>
      </c>
      <c r="B43" s="2" t="s">
        <v>184</v>
      </c>
      <c r="C43" s="27" t="s">
        <v>36</v>
      </c>
      <c r="D43" s="28" t="s">
        <v>318</v>
      </c>
      <c r="E43" s="28" t="s">
        <v>319</v>
      </c>
      <c r="F43" s="28" t="s">
        <v>320</v>
      </c>
      <c r="G43" s="29" t="s">
        <v>321</v>
      </c>
      <c r="H43" s="28" t="s">
        <v>322</v>
      </c>
      <c r="I43" s="28" t="s">
        <v>177</v>
      </c>
      <c r="J43" s="28"/>
      <c r="K43" s="28"/>
      <c r="L43" s="28"/>
      <c r="M43" s="28"/>
      <c r="N43" s="49" t="s">
        <v>323</v>
      </c>
      <c r="O43" s="2" t="s">
        <v>324</v>
      </c>
    </row>
    <row r="44" spans="1:15" ht="120" customHeight="1" x14ac:dyDescent="0.25">
      <c r="A44" s="26" t="s">
        <v>53</v>
      </c>
      <c r="B44" s="2" t="s">
        <v>325</v>
      </c>
      <c r="C44" s="27" t="s">
        <v>36</v>
      </c>
      <c r="D44" s="28" t="s">
        <v>326</v>
      </c>
      <c r="E44" s="28"/>
      <c r="F44" s="28"/>
      <c r="G44" s="29" t="s">
        <v>327</v>
      </c>
      <c r="H44" s="28" t="s">
        <v>328</v>
      </c>
      <c r="I44" s="28"/>
      <c r="J44" s="28"/>
      <c r="K44" s="28"/>
      <c r="L44" s="28"/>
      <c r="M44" s="28"/>
      <c r="N44" s="32" t="s">
        <v>329</v>
      </c>
      <c r="O44" s="2" t="s">
        <v>330</v>
      </c>
    </row>
    <row r="45" spans="1:15" ht="89.25" customHeight="1" x14ac:dyDescent="0.25">
      <c r="A45" s="33" t="s">
        <v>62</v>
      </c>
      <c r="B45" s="6" t="s">
        <v>331</v>
      </c>
      <c r="C45" s="34" t="s">
        <v>36</v>
      </c>
      <c r="D45" s="35" t="s">
        <v>332</v>
      </c>
      <c r="E45" s="35"/>
      <c r="F45" s="35"/>
      <c r="G45" s="40" t="s">
        <v>327</v>
      </c>
      <c r="H45" s="35" t="s">
        <v>333</v>
      </c>
      <c r="I45" s="35"/>
      <c r="J45" s="35"/>
      <c r="K45" s="35"/>
      <c r="L45" s="35"/>
      <c r="M45" s="35"/>
      <c r="N45" s="32" t="s">
        <v>334</v>
      </c>
      <c r="O45" s="6" t="s">
        <v>335</v>
      </c>
    </row>
    <row r="46" spans="1:15" ht="165" customHeight="1" x14ac:dyDescent="0.25">
      <c r="A46" s="26" t="s">
        <v>68</v>
      </c>
      <c r="B46" s="50"/>
      <c r="C46" s="27" t="s">
        <v>56</v>
      </c>
      <c r="D46" s="50" t="s">
        <v>336</v>
      </c>
      <c r="E46" s="50"/>
      <c r="F46" s="50"/>
      <c r="G46" s="50" t="s">
        <v>337</v>
      </c>
      <c r="H46" s="50" t="s">
        <v>338</v>
      </c>
      <c r="I46" s="50"/>
      <c r="J46" s="50"/>
      <c r="K46" s="28"/>
      <c r="L46" s="50"/>
      <c r="M46" s="50"/>
      <c r="N46" s="51" t="s">
        <v>339</v>
      </c>
      <c r="O46" s="50" t="s">
        <v>340</v>
      </c>
    </row>
    <row r="47" spans="1:15" ht="195" customHeight="1" x14ac:dyDescent="0.25">
      <c r="A47" s="50" t="s">
        <v>296</v>
      </c>
      <c r="B47" s="50" t="s">
        <v>341</v>
      </c>
      <c r="C47" s="50" t="s">
        <v>342</v>
      </c>
      <c r="D47" s="50" t="s">
        <v>343</v>
      </c>
      <c r="E47" s="50"/>
      <c r="F47" s="50"/>
      <c r="G47" s="50" t="s">
        <v>344</v>
      </c>
      <c r="H47" s="50" t="s">
        <v>345</v>
      </c>
      <c r="I47" s="50"/>
      <c r="J47" s="50"/>
      <c r="K47" s="50"/>
      <c r="L47" s="50"/>
      <c r="M47" s="50"/>
      <c r="N47" s="48" t="s">
        <v>303</v>
      </c>
      <c r="O47" s="50" t="s">
        <v>346</v>
      </c>
    </row>
    <row r="49" spans="1:15" ht="15" customHeight="1" x14ac:dyDescent="0.25">
      <c r="A49" s="186" t="s">
        <v>347</v>
      </c>
      <c r="B49" s="186"/>
      <c r="C49" s="187" t="s">
        <v>348</v>
      </c>
      <c r="D49" s="187"/>
      <c r="E49" s="187"/>
      <c r="F49" s="187"/>
      <c r="G49" s="187"/>
      <c r="H49" s="187"/>
      <c r="I49" s="187"/>
      <c r="J49" s="187"/>
      <c r="K49" s="188" t="s">
        <v>349</v>
      </c>
      <c r="L49" s="188"/>
      <c r="M49" s="188"/>
      <c r="N49" s="189"/>
      <c r="O49" s="189"/>
    </row>
    <row r="50" spans="1:15" ht="15" customHeight="1" x14ac:dyDescent="0.25">
      <c r="A50" s="164" t="s">
        <v>350</v>
      </c>
      <c r="B50" s="164"/>
      <c r="C50" s="164"/>
      <c r="D50" s="164"/>
      <c r="E50" s="164"/>
      <c r="F50" s="164"/>
      <c r="G50" s="164"/>
      <c r="H50" s="164"/>
      <c r="I50" s="164"/>
      <c r="J50" s="164"/>
      <c r="K50" s="164"/>
      <c r="L50" s="164"/>
      <c r="M50" s="164"/>
      <c r="N50" s="164"/>
      <c r="O50" s="164"/>
    </row>
    <row r="51" spans="1:15" ht="25.5" customHeight="1" x14ac:dyDescent="0.25">
      <c r="A51" s="1" t="s">
        <v>152</v>
      </c>
      <c r="B51" s="1" t="s">
        <v>4</v>
      </c>
      <c r="C51" s="1" t="s">
        <v>9</v>
      </c>
      <c r="D51" s="1" t="s">
        <v>153</v>
      </c>
      <c r="E51" s="1" t="s">
        <v>154</v>
      </c>
      <c r="F51" s="1" t="s">
        <v>155</v>
      </c>
      <c r="G51" s="1" t="s">
        <v>156</v>
      </c>
      <c r="H51" s="1" t="s">
        <v>245</v>
      </c>
      <c r="I51" s="1" t="s">
        <v>158</v>
      </c>
      <c r="J51" s="1" t="s">
        <v>159</v>
      </c>
      <c r="K51" s="1" t="s">
        <v>160</v>
      </c>
      <c r="L51" s="1" t="s">
        <v>161</v>
      </c>
      <c r="M51" s="1" t="s">
        <v>162</v>
      </c>
      <c r="N51" s="1" t="s">
        <v>16</v>
      </c>
      <c r="O51" s="1" t="s">
        <v>17</v>
      </c>
    </row>
    <row r="52" spans="1:15" ht="25.5" customHeight="1" x14ac:dyDescent="0.25">
      <c r="A52" s="26" t="s">
        <v>95</v>
      </c>
      <c r="B52" s="2" t="s">
        <v>96</v>
      </c>
      <c r="C52" s="27" t="s">
        <v>351</v>
      </c>
      <c r="D52" s="28"/>
      <c r="E52" s="28"/>
      <c r="F52" s="28"/>
      <c r="G52" s="29" t="s">
        <v>352</v>
      </c>
      <c r="H52" s="28"/>
      <c r="I52" s="28"/>
      <c r="J52" s="28"/>
      <c r="K52" s="28"/>
      <c r="L52" s="28"/>
      <c r="M52" s="28"/>
      <c r="N52" s="32" t="s">
        <v>353</v>
      </c>
      <c r="O52" s="2"/>
    </row>
    <row r="53" spans="1:15" ht="25.5" customHeight="1" x14ac:dyDescent="0.25">
      <c r="A53" s="33" t="s">
        <v>104</v>
      </c>
      <c r="B53" s="6" t="s">
        <v>105</v>
      </c>
      <c r="C53" s="34" t="s">
        <v>351</v>
      </c>
      <c r="D53" s="35"/>
      <c r="E53" s="35"/>
      <c r="F53" s="35"/>
      <c r="G53" s="40" t="s">
        <v>352</v>
      </c>
      <c r="H53" s="35"/>
      <c r="I53" s="35"/>
      <c r="J53" s="35"/>
      <c r="K53" s="35"/>
      <c r="L53" s="35"/>
      <c r="M53" s="35"/>
      <c r="N53" s="32" t="s">
        <v>353</v>
      </c>
      <c r="O53" s="6"/>
    </row>
    <row r="54" spans="1:15" ht="25.5" customHeight="1" x14ac:dyDescent="0.25">
      <c r="A54" s="26" t="s">
        <v>107</v>
      </c>
      <c r="B54" s="2" t="s">
        <v>108</v>
      </c>
      <c r="C54" s="27" t="s">
        <v>351</v>
      </c>
      <c r="D54" s="28"/>
      <c r="E54" s="28"/>
      <c r="F54" s="28"/>
      <c r="G54" s="29" t="s">
        <v>352</v>
      </c>
      <c r="H54" s="28"/>
      <c r="I54" s="28"/>
      <c r="J54" s="28"/>
      <c r="K54" s="28"/>
      <c r="L54" s="28"/>
      <c r="M54" s="28"/>
      <c r="N54" s="32" t="s">
        <v>353</v>
      </c>
      <c r="O54" s="2"/>
    </row>
    <row r="55" spans="1:15" ht="25.5" customHeight="1" x14ac:dyDescent="0.25">
      <c r="A55" s="33" t="s">
        <v>111</v>
      </c>
      <c r="B55" s="6" t="s">
        <v>112</v>
      </c>
      <c r="C55" s="34" t="s">
        <v>351</v>
      </c>
      <c r="D55" s="35"/>
      <c r="E55" s="35"/>
      <c r="F55" s="35"/>
      <c r="G55" s="40" t="s">
        <v>352</v>
      </c>
      <c r="H55" s="35"/>
      <c r="I55" s="35"/>
      <c r="J55" s="35"/>
      <c r="K55" s="35"/>
      <c r="L55" s="35"/>
      <c r="M55" s="35"/>
      <c r="N55" s="32" t="s">
        <v>353</v>
      </c>
      <c r="O55" s="6"/>
    </row>
    <row r="56" spans="1:15" ht="15" customHeight="1" x14ac:dyDescent="0.25">
      <c r="A56" s="179" t="s">
        <v>114</v>
      </c>
      <c r="B56" s="179"/>
      <c r="C56" s="180" t="s">
        <v>351</v>
      </c>
      <c r="D56" s="180"/>
      <c r="E56" s="180"/>
      <c r="F56" s="180"/>
      <c r="G56" s="180"/>
      <c r="H56" s="180"/>
      <c r="I56" s="180"/>
      <c r="J56" s="180"/>
      <c r="K56" s="181"/>
      <c r="L56" s="181"/>
      <c r="M56" s="181"/>
      <c r="N56" s="174"/>
      <c r="O56" s="174"/>
    </row>
    <row r="57" spans="1:15" x14ac:dyDescent="0.25">
      <c r="A57" s="149"/>
      <c r="B57" s="149"/>
      <c r="C57" s="149"/>
      <c r="D57" s="149"/>
      <c r="E57" s="149"/>
      <c r="F57" s="149"/>
      <c r="G57" s="149"/>
      <c r="H57" s="149"/>
      <c r="I57" s="149"/>
      <c r="J57" s="149"/>
      <c r="K57" s="149"/>
      <c r="L57" s="149"/>
      <c r="M57" s="149"/>
      <c r="N57" s="149"/>
      <c r="O57" s="149"/>
    </row>
    <row r="58" spans="1:15" ht="15" customHeight="1" x14ac:dyDescent="0.25">
      <c r="A58" s="182" t="s">
        <v>354</v>
      </c>
      <c r="B58" s="182"/>
      <c r="C58" s="183" t="s">
        <v>355</v>
      </c>
      <c r="D58" s="183"/>
      <c r="E58" s="183"/>
      <c r="F58" s="183"/>
      <c r="G58" s="183"/>
      <c r="H58" s="183"/>
      <c r="I58" s="183"/>
      <c r="J58" s="183"/>
      <c r="K58" s="184" t="s">
        <v>356</v>
      </c>
      <c r="L58" s="184"/>
      <c r="M58" s="184"/>
      <c r="N58" s="185"/>
      <c r="O58" s="185"/>
    </row>
    <row r="59" spans="1:15" ht="15" customHeight="1" x14ac:dyDescent="0.25">
      <c r="A59" s="164" t="s">
        <v>357</v>
      </c>
      <c r="B59" s="164"/>
      <c r="C59" s="164"/>
      <c r="D59" s="164"/>
      <c r="E59" s="164"/>
      <c r="F59" s="164"/>
      <c r="G59" s="164"/>
      <c r="H59" s="164"/>
      <c r="I59" s="164"/>
      <c r="J59" s="164"/>
      <c r="K59" s="164"/>
      <c r="L59" s="164"/>
      <c r="M59" s="164"/>
      <c r="N59" s="164"/>
      <c r="O59" s="164"/>
    </row>
    <row r="60" spans="1:15" ht="25.5" customHeight="1" x14ac:dyDescent="0.25">
      <c r="A60" s="1" t="s">
        <v>152</v>
      </c>
      <c r="B60" s="1" t="s">
        <v>4</v>
      </c>
      <c r="C60" s="1" t="s">
        <v>9</v>
      </c>
      <c r="D60" s="1" t="s">
        <v>153</v>
      </c>
      <c r="E60" s="1" t="s">
        <v>154</v>
      </c>
      <c r="F60" s="1" t="s">
        <v>155</v>
      </c>
      <c r="G60" s="1" t="s">
        <v>156</v>
      </c>
      <c r="H60" s="1" t="s">
        <v>245</v>
      </c>
      <c r="I60" s="1" t="s">
        <v>158</v>
      </c>
      <c r="J60" s="1" t="s">
        <v>159</v>
      </c>
      <c r="K60" s="1" t="s">
        <v>160</v>
      </c>
      <c r="L60" s="1" t="s">
        <v>161</v>
      </c>
      <c r="M60" s="1" t="s">
        <v>162</v>
      </c>
      <c r="N60" s="1" t="s">
        <v>16</v>
      </c>
      <c r="O60" s="1" t="s">
        <v>17</v>
      </c>
    </row>
    <row r="61" spans="1:15" ht="25.5" customHeight="1" x14ac:dyDescent="0.25">
      <c r="A61" s="26" t="s">
        <v>117</v>
      </c>
      <c r="B61" s="2" t="s">
        <v>118</v>
      </c>
      <c r="C61" s="27" t="s">
        <v>120</v>
      </c>
      <c r="D61" s="28"/>
      <c r="E61" s="28"/>
      <c r="F61" s="28"/>
      <c r="G61" s="29" t="s">
        <v>358</v>
      </c>
      <c r="H61" s="28"/>
      <c r="I61" s="28"/>
      <c r="J61" s="28"/>
      <c r="K61" s="28"/>
      <c r="L61" s="28"/>
      <c r="M61" s="28"/>
      <c r="N61" s="32" t="s">
        <v>353</v>
      </c>
      <c r="O61" s="2"/>
    </row>
    <row r="62" spans="1:15" ht="25.5" customHeight="1" x14ac:dyDescent="0.25">
      <c r="A62" s="33" t="s">
        <v>124</v>
      </c>
      <c r="B62" s="6" t="s">
        <v>125</v>
      </c>
      <c r="C62" s="34" t="s">
        <v>126</v>
      </c>
      <c r="D62" s="35"/>
      <c r="E62" s="35"/>
      <c r="F62" s="35"/>
      <c r="G62" s="40" t="s">
        <v>359</v>
      </c>
      <c r="H62" s="35"/>
      <c r="I62" s="35"/>
      <c r="J62" s="35"/>
      <c r="K62" s="35"/>
      <c r="L62" s="35"/>
      <c r="M62" s="35"/>
      <c r="N62" s="32" t="s">
        <v>353</v>
      </c>
      <c r="O62" s="6"/>
    </row>
    <row r="63" spans="1:15" ht="15" customHeight="1" x14ac:dyDescent="0.25">
      <c r="A63" s="179" t="s">
        <v>131</v>
      </c>
      <c r="B63" s="179"/>
      <c r="C63" s="180" t="s">
        <v>120</v>
      </c>
      <c r="D63" s="180"/>
      <c r="E63" s="180"/>
      <c r="F63" s="180"/>
      <c r="G63" s="180"/>
      <c r="H63" s="180"/>
      <c r="I63" s="180"/>
      <c r="J63" s="180"/>
      <c r="K63" s="181"/>
      <c r="L63" s="181"/>
      <c r="M63" s="181"/>
      <c r="N63" s="174"/>
      <c r="O63" s="174"/>
    </row>
    <row r="64" spans="1:15" x14ac:dyDescent="0.25">
      <c r="A64" s="149"/>
      <c r="B64" s="149"/>
      <c r="C64" s="149"/>
      <c r="D64" s="149"/>
      <c r="E64" s="149"/>
      <c r="F64" s="149"/>
      <c r="G64" s="149"/>
      <c r="H64" s="149"/>
      <c r="I64" s="149"/>
      <c r="J64" s="149"/>
      <c r="K64" s="149"/>
      <c r="L64" s="149"/>
      <c r="M64" s="149"/>
      <c r="N64" s="149"/>
      <c r="O64" s="149"/>
    </row>
    <row r="65" spans="1:15" ht="15" customHeight="1" x14ac:dyDescent="0.25">
      <c r="A65" s="175" t="s">
        <v>360</v>
      </c>
      <c r="B65" s="175"/>
      <c r="C65" s="176" t="s">
        <v>361</v>
      </c>
      <c r="D65" s="176"/>
      <c r="E65" s="176"/>
      <c r="F65" s="176"/>
      <c r="G65" s="176"/>
      <c r="H65" s="176"/>
      <c r="I65" s="176"/>
      <c r="J65" s="176"/>
      <c r="K65" s="177" t="s">
        <v>362</v>
      </c>
      <c r="L65" s="177"/>
      <c r="M65" s="177"/>
      <c r="N65" s="178"/>
      <c r="O65" s="178"/>
    </row>
    <row r="66" spans="1:15" ht="45" customHeight="1" x14ac:dyDescent="0.25">
      <c r="A66" s="164" t="s">
        <v>363</v>
      </c>
      <c r="B66" s="164"/>
      <c r="C66" s="164"/>
      <c r="D66" s="164"/>
      <c r="E66" s="164"/>
      <c r="F66" s="164"/>
      <c r="G66" s="164"/>
      <c r="H66" s="164"/>
      <c r="I66" s="164"/>
      <c r="J66" s="164"/>
      <c r="K66" s="164"/>
      <c r="L66" s="164"/>
      <c r="M66" s="164"/>
      <c r="N66" s="164"/>
      <c r="O66" s="164"/>
    </row>
    <row r="67" spans="1:15" ht="25.5" customHeight="1" x14ac:dyDescent="0.25">
      <c r="A67" s="1" t="s">
        <v>152</v>
      </c>
      <c r="B67" s="1" t="s">
        <v>4</v>
      </c>
      <c r="C67" s="1" t="s">
        <v>9</v>
      </c>
      <c r="D67" s="1" t="s">
        <v>153</v>
      </c>
      <c r="E67" s="1" t="s">
        <v>154</v>
      </c>
      <c r="F67" s="1" t="s">
        <v>155</v>
      </c>
      <c r="G67" s="1" t="s">
        <v>156</v>
      </c>
      <c r="H67" s="1" t="s">
        <v>245</v>
      </c>
      <c r="I67" s="1" t="s">
        <v>158</v>
      </c>
      <c r="J67" s="1" t="s">
        <v>159</v>
      </c>
      <c r="K67" s="1" t="s">
        <v>160</v>
      </c>
      <c r="L67" s="1" t="s">
        <v>161</v>
      </c>
      <c r="M67" s="1" t="s">
        <v>162</v>
      </c>
      <c r="N67" s="1" t="s">
        <v>16</v>
      </c>
      <c r="O67" s="1" t="s">
        <v>17</v>
      </c>
    </row>
    <row r="68" spans="1:15" ht="140.25" customHeight="1" x14ac:dyDescent="0.25">
      <c r="A68" s="26" t="s">
        <v>68</v>
      </c>
      <c r="B68" s="2" t="s">
        <v>194</v>
      </c>
      <c r="C68" s="27" t="s">
        <v>56</v>
      </c>
      <c r="D68" s="28" t="s">
        <v>364</v>
      </c>
      <c r="E68" s="28"/>
      <c r="F68" s="28"/>
      <c r="G68" s="29" t="s">
        <v>365</v>
      </c>
      <c r="H68" s="28"/>
      <c r="I68" s="28"/>
      <c r="J68" s="28"/>
      <c r="K68" s="28"/>
      <c r="L68" s="28"/>
      <c r="M68" s="28"/>
      <c r="N68" s="32" t="s">
        <v>366</v>
      </c>
      <c r="O68" s="2" t="s">
        <v>367</v>
      </c>
    </row>
    <row r="69" spans="1:15" ht="153" customHeight="1" x14ac:dyDescent="0.25">
      <c r="A69" s="26" t="s">
        <v>75</v>
      </c>
      <c r="B69" s="2" t="s">
        <v>368</v>
      </c>
      <c r="C69" s="27" t="s">
        <v>77</v>
      </c>
      <c r="D69" s="28" t="s">
        <v>369</v>
      </c>
      <c r="E69" s="28"/>
      <c r="F69" s="28"/>
      <c r="G69" s="29" t="s">
        <v>370</v>
      </c>
      <c r="H69" s="28"/>
      <c r="I69" s="28"/>
      <c r="J69" s="28"/>
      <c r="K69" s="28"/>
      <c r="L69" s="28"/>
      <c r="M69" s="28"/>
      <c r="N69" s="32" t="s">
        <v>371</v>
      </c>
      <c r="O69" s="2" t="s">
        <v>372</v>
      </c>
    </row>
    <row r="70" spans="1:15" ht="15" customHeight="1" x14ac:dyDescent="0.25">
      <c r="A70" s="171" t="s">
        <v>82</v>
      </c>
      <c r="B70" s="171"/>
      <c r="C70" s="172" t="s">
        <v>77</v>
      </c>
      <c r="D70" s="172"/>
      <c r="E70" s="172"/>
      <c r="F70" s="172"/>
      <c r="G70" s="172"/>
      <c r="H70" s="172"/>
      <c r="I70" s="172"/>
      <c r="J70" s="172"/>
      <c r="K70" s="173"/>
      <c r="L70" s="173"/>
      <c r="M70" s="173"/>
      <c r="N70" s="174"/>
      <c r="O70" s="174"/>
    </row>
    <row r="71" spans="1:15" x14ac:dyDescent="0.25">
      <c r="A71" s="166"/>
      <c r="B71" s="166"/>
      <c r="C71" s="166"/>
      <c r="D71" s="166"/>
      <c r="E71" s="166"/>
      <c r="F71" s="166"/>
      <c r="G71" s="166"/>
      <c r="H71" s="166"/>
      <c r="I71" s="166"/>
      <c r="J71" s="166"/>
      <c r="K71" s="166"/>
      <c r="L71" s="166"/>
      <c r="M71" s="166"/>
      <c r="N71" s="166"/>
      <c r="O71" s="166"/>
    </row>
    <row r="72" spans="1:15" ht="15" customHeight="1" x14ac:dyDescent="0.25">
      <c r="A72" s="167" t="s">
        <v>373</v>
      </c>
      <c r="B72" s="167"/>
      <c r="C72" s="168" t="s">
        <v>374</v>
      </c>
      <c r="D72" s="168"/>
      <c r="E72" s="168"/>
      <c r="F72" s="168"/>
      <c r="G72" s="168"/>
      <c r="H72" s="168"/>
      <c r="I72" s="168"/>
      <c r="J72" s="168"/>
      <c r="K72" s="169" t="s">
        <v>150</v>
      </c>
      <c r="L72" s="169"/>
      <c r="M72" s="169"/>
      <c r="N72" s="170"/>
      <c r="O72" s="170"/>
    </row>
    <row r="73" spans="1:15" ht="50.25" customHeight="1" x14ac:dyDescent="0.25">
      <c r="A73" s="164" t="s">
        <v>375</v>
      </c>
      <c r="B73" s="164"/>
      <c r="C73" s="164"/>
      <c r="D73" s="164"/>
      <c r="E73" s="164"/>
      <c r="F73" s="164"/>
      <c r="G73" s="164"/>
      <c r="H73" s="164"/>
      <c r="I73" s="164"/>
      <c r="J73" s="164"/>
      <c r="K73" s="164"/>
      <c r="L73" s="164"/>
      <c r="M73" s="164"/>
      <c r="N73" s="164"/>
      <c r="O73" s="164"/>
    </row>
    <row r="74" spans="1:15" ht="25.5" customHeight="1" x14ac:dyDescent="0.25">
      <c r="A74" s="1" t="s">
        <v>152</v>
      </c>
      <c r="B74" s="1" t="s">
        <v>4</v>
      </c>
      <c r="C74" s="1" t="s">
        <v>9</v>
      </c>
      <c r="D74" s="1" t="s">
        <v>153</v>
      </c>
      <c r="E74" s="1" t="s">
        <v>154</v>
      </c>
      <c r="F74" s="1" t="s">
        <v>155</v>
      </c>
      <c r="G74" s="1" t="s">
        <v>156</v>
      </c>
      <c r="H74" s="1" t="s">
        <v>245</v>
      </c>
      <c r="I74" s="1" t="s">
        <v>158</v>
      </c>
      <c r="J74" s="1" t="s">
        <v>159</v>
      </c>
      <c r="K74" s="1" t="s">
        <v>160</v>
      </c>
      <c r="L74" s="1" t="s">
        <v>161</v>
      </c>
      <c r="M74" s="1" t="s">
        <v>162</v>
      </c>
      <c r="N74" s="1" t="s">
        <v>16</v>
      </c>
      <c r="O74" s="1" t="s">
        <v>17</v>
      </c>
    </row>
    <row r="75" spans="1:15" ht="150" customHeight="1" x14ac:dyDescent="0.25">
      <c r="A75" s="26" t="s">
        <v>53</v>
      </c>
      <c r="B75" s="2" t="s">
        <v>325</v>
      </c>
      <c r="C75" s="27" t="s">
        <v>36</v>
      </c>
      <c r="D75" s="30" t="s">
        <v>376</v>
      </c>
      <c r="E75" s="30" t="s">
        <v>377</v>
      </c>
      <c r="F75" s="28" t="s">
        <v>320</v>
      </c>
      <c r="G75" s="29" t="s">
        <v>378</v>
      </c>
      <c r="H75" s="28" t="s">
        <v>379</v>
      </c>
      <c r="I75" s="28" t="s">
        <v>168</v>
      </c>
      <c r="J75" s="52" t="s">
        <v>380</v>
      </c>
      <c r="K75" s="28">
        <v>8.4000000000000005E-2</v>
      </c>
      <c r="L75" s="28"/>
      <c r="M75" s="28"/>
      <c r="N75" s="32" t="s">
        <v>273</v>
      </c>
      <c r="O75" s="2" t="s">
        <v>381</v>
      </c>
    </row>
    <row r="76" spans="1:15" ht="225" customHeight="1" x14ac:dyDescent="0.25">
      <c r="A76" s="33" t="s">
        <v>62</v>
      </c>
      <c r="B76" s="53" t="s">
        <v>331</v>
      </c>
      <c r="C76" s="54" t="s">
        <v>36</v>
      </c>
      <c r="D76" s="54" t="s">
        <v>382</v>
      </c>
      <c r="E76" s="54" t="s">
        <v>383</v>
      </c>
      <c r="F76" s="54" t="s">
        <v>384</v>
      </c>
      <c r="G76" s="54" t="s">
        <v>385</v>
      </c>
      <c r="H76" s="54" t="s">
        <v>386</v>
      </c>
      <c r="I76" s="54" t="s">
        <v>168</v>
      </c>
      <c r="J76" s="54" t="s">
        <v>387</v>
      </c>
      <c r="K76" s="54">
        <v>9.3799999999999994E-2</v>
      </c>
      <c r="L76" s="54"/>
      <c r="M76" s="54"/>
      <c r="N76" s="54" t="s">
        <v>388</v>
      </c>
      <c r="O76" s="50" t="s">
        <v>389</v>
      </c>
    </row>
    <row r="86" spans="1:15" ht="48" customHeight="1" x14ac:dyDescent="0.25">
      <c r="G86" s="44"/>
      <c r="H86" s="44"/>
      <c r="I86" s="44"/>
      <c r="J86" s="42"/>
      <c r="K86" s="149"/>
      <c r="L86" s="149"/>
      <c r="M86" s="149"/>
      <c r="N86" s="149"/>
      <c r="O86" s="149"/>
    </row>
    <row r="87" spans="1:15" x14ac:dyDescent="0.25">
      <c r="A87" s="149"/>
      <c r="B87" s="149"/>
      <c r="C87" s="149"/>
      <c r="D87" s="149"/>
      <c r="E87" s="149"/>
      <c r="F87" s="149"/>
      <c r="G87" s="149"/>
      <c r="H87" s="149"/>
      <c r="I87" s="149"/>
      <c r="J87" s="149"/>
      <c r="K87" s="149"/>
      <c r="L87" s="149"/>
      <c r="M87" s="149"/>
      <c r="N87" s="149"/>
      <c r="O87" s="149"/>
    </row>
    <row r="88" spans="1:15" ht="15" customHeight="1" x14ac:dyDescent="0.25">
      <c r="A88" s="165" t="s">
        <v>390</v>
      </c>
      <c r="B88" s="165"/>
      <c r="C88" s="165" t="s">
        <v>391</v>
      </c>
      <c r="D88" s="165"/>
      <c r="E88" s="165"/>
      <c r="F88" s="165"/>
      <c r="G88" s="165"/>
      <c r="H88" s="165"/>
      <c r="I88" s="165"/>
      <c r="J88" s="165"/>
      <c r="K88" s="165" t="s">
        <v>265</v>
      </c>
      <c r="L88" s="165"/>
      <c r="M88" s="165"/>
      <c r="N88" s="165"/>
      <c r="O88" s="165"/>
    </row>
    <row r="89" spans="1:15" ht="15" customHeight="1" x14ac:dyDescent="0.25">
      <c r="A89" s="148" t="s">
        <v>392</v>
      </c>
      <c r="B89" s="148"/>
      <c r="C89" s="148"/>
      <c r="D89" s="148"/>
      <c r="E89" s="148"/>
      <c r="F89" s="148"/>
      <c r="G89" s="148"/>
      <c r="H89" s="148"/>
      <c r="I89" s="148"/>
      <c r="J89" s="148"/>
      <c r="K89" s="148"/>
      <c r="L89" s="148"/>
      <c r="M89" s="148"/>
      <c r="N89" s="148"/>
      <c r="O89" s="148"/>
    </row>
    <row r="90" spans="1:15" ht="25.5" customHeight="1" x14ac:dyDescent="0.25">
      <c r="A90" s="55" t="s">
        <v>152</v>
      </c>
      <c r="B90" s="55" t="s">
        <v>4</v>
      </c>
      <c r="C90" s="55" t="s">
        <v>9</v>
      </c>
      <c r="D90" s="55" t="s">
        <v>153</v>
      </c>
      <c r="E90" s="55" t="s">
        <v>154</v>
      </c>
      <c r="F90" s="55" t="s">
        <v>155</v>
      </c>
      <c r="G90" s="55" t="s">
        <v>156</v>
      </c>
      <c r="H90" s="55" t="s">
        <v>245</v>
      </c>
      <c r="I90" s="55" t="s">
        <v>158</v>
      </c>
      <c r="J90" s="55" t="s">
        <v>159</v>
      </c>
      <c r="K90" s="55" t="s">
        <v>160</v>
      </c>
      <c r="L90" s="55" t="s">
        <v>161</v>
      </c>
      <c r="M90" s="55" t="s">
        <v>162</v>
      </c>
      <c r="N90" s="55" t="s">
        <v>16</v>
      </c>
      <c r="O90" s="55" t="s">
        <v>17</v>
      </c>
    </row>
    <row r="91" spans="1:15" ht="114.75" customHeight="1" x14ac:dyDescent="0.25">
      <c r="A91" s="56" t="s">
        <v>53</v>
      </c>
      <c r="B91" s="56" t="s">
        <v>393</v>
      </c>
      <c r="C91" s="56" t="s">
        <v>394</v>
      </c>
      <c r="D91" s="56" t="s">
        <v>395</v>
      </c>
      <c r="E91" s="56" t="s">
        <v>396</v>
      </c>
      <c r="F91" s="56" t="s">
        <v>397</v>
      </c>
      <c r="G91" s="56" t="s">
        <v>398</v>
      </c>
      <c r="H91" s="56" t="s">
        <v>399</v>
      </c>
      <c r="I91" s="56" t="s">
        <v>168</v>
      </c>
      <c r="J91" s="56" t="s">
        <v>400</v>
      </c>
      <c r="K91" s="56">
        <v>0.27200000000000002</v>
      </c>
      <c r="L91" s="56"/>
      <c r="M91" s="56"/>
      <c r="N91" s="56" t="s">
        <v>303</v>
      </c>
      <c r="O91" s="56" t="s">
        <v>401</v>
      </c>
    </row>
    <row r="92" spans="1:15" ht="204" customHeight="1" x14ac:dyDescent="0.25">
      <c r="A92" s="56" t="s">
        <v>68</v>
      </c>
      <c r="B92" s="56" t="s">
        <v>402</v>
      </c>
      <c r="C92" s="56" t="s">
        <v>56</v>
      </c>
      <c r="D92" s="56" t="s">
        <v>403</v>
      </c>
      <c r="E92" s="56" t="s">
        <v>404</v>
      </c>
      <c r="F92" s="56" t="s">
        <v>397</v>
      </c>
      <c r="G92" s="56" t="s">
        <v>398</v>
      </c>
      <c r="H92" s="56" t="s">
        <v>405</v>
      </c>
      <c r="I92" s="56" t="s">
        <v>168</v>
      </c>
      <c r="J92" s="56" t="s">
        <v>406</v>
      </c>
      <c r="K92" s="56">
        <v>0.28399999999999997</v>
      </c>
      <c r="L92" s="56">
        <v>6.8000000000000005E-2</v>
      </c>
      <c r="M92" s="56">
        <v>1.1850000000000001</v>
      </c>
      <c r="N92" s="56" t="s">
        <v>303</v>
      </c>
      <c r="O92" s="56" t="s">
        <v>407</v>
      </c>
    </row>
    <row r="93" spans="1:15" ht="15" customHeight="1" x14ac:dyDescent="0.25">
      <c r="A93" s="163" t="s">
        <v>82</v>
      </c>
      <c r="B93" s="163"/>
      <c r="C93" s="163" t="s">
        <v>56</v>
      </c>
      <c r="D93" s="163"/>
      <c r="E93" s="163"/>
      <c r="F93" s="163"/>
      <c r="G93" s="163"/>
      <c r="H93" s="163"/>
      <c r="I93" s="163"/>
      <c r="J93" s="163"/>
      <c r="K93" s="163">
        <v>0.70499999999999996</v>
      </c>
      <c r="L93" s="163"/>
      <c r="M93" s="163"/>
      <c r="N93" s="149"/>
      <c r="O93" s="149"/>
    </row>
    <row r="94" spans="1:15" x14ac:dyDescent="0.25">
      <c r="A94" s="149" t="s">
        <v>296</v>
      </c>
      <c r="B94" s="149"/>
      <c r="C94" s="149"/>
      <c r="D94" s="149"/>
      <c r="E94" s="149"/>
      <c r="F94" s="149"/>
      <c r="G94" s="149"/>
      <c r="H94" s="149"/>
      <c r="I94" s="149"/>
      <c r="J94" s="149"/>
      <c r="K94" s="149"/>
      <c r="L94" s="149"/>
      <c r="M94" s="149"/>
      <c r="N94" s="149"/>
      <c r="O94" s="149"/>
    </row>
    <row r="96" spans="1:15" ht="15" customHeight="1" x14ac:dyDescent="0.25">
      <c r="A96" s="159" t="s">
        <v>408</v>
      </c>
      <c r="B96" s="159"/>
      <c r="C96" s="160" t="s">
        <v>409</v>
      </c>
      <c r="D96" s="160"/>
      <c r="E96" s="160"/>
      <c r="F96" s="160"/>
      <c r="G96" s="160"/>
      <c r="H96" s="160"/>
      <c r="I96" s="160"/>
      <c r="J96" s="57"/>
      <c r="K96" s="57"/>
      <c r="L96" s="57" t="s">
        <v>150</v>
      </c>
      <c r="M96" s="57"/>
      <c r="N96" s="58"/>
      <c r="O96" s="58"/>
    </row>
    <row r="97" spans="1:15" ht="15" customHeight="1" x14ac:dyDescent="0.25">
      <c r="A97" s="148" t="s">
        <v>410</v>
      </c>
      <c r="B97" s="148"/>
      <c r="C97" s="148"/>
      <c r="D97" s="148"/>
      <c r="E97" s="148"/>
      <c r="F97" s="148"/>
      <c r="G97" s="148"/>
      <c r="H97" s="148"/>
      <c r="I97" s="148"/>
      <c r="J97" s="148"/>
      <c r="K97" s="148"/>
      <c r="L97" s="148"/>
      <c r="M97" s="148"/>
      <c r="N97" s="148"/>
      <c r="O97" s="148"/>
    </row>
    <row r="98" spans="1:15" ht="25.5" customHeight="1" x14ac:dyDescent="0.25">
      <c r="A98" s="59" t="s">
        <v>152</v>
      </c>
      <c r="B98" s="59" t="s">
        <v>4</v>
      </c>
      <c r="C98" s="59" t="s">
        <v>9</v>
      </c>
      <c r="D98" s="59" t="s">
        <v>153</v>
      </c>
      <c r="E98" s="59" t="s">
        <v>154</v>
      </c>
      <c r="F98" s="59" t="s">
        <v>155</v>
      </c>
      <c r="G98" s="59" t="s">
        <v>156</v>
      </c>
      <c r="H98" s="59" t="s">
        <v>245</v>
      </c>
      <c r="I98" s="59" t="s">
        <v>158</v>
      </c>
      <c r="J98" s="59" t="s">
        <v>159</v>
      </c>
      <c r="K98" s="59" t="s">
        <v>160</v>
      </c>
      <c r="L98" s="59" t="s">
        <v>161</v>
      </c>
      <c r="M98" s="59" t="s">
        <v>162</v>
      </c>
      <c r="N98" s="59" t="s">
        <v>16</v>
      </c>
      <c r="O98" s="59" t="s">
        <v>17</v>
      </c>
    </row>
    <row r="99" spans="1:15" ht="153" customHeight="1" x14ac:dyDescent="0.25">
      <c r="A99" s="56" t="s">
        <v>411</v>
      </c>
      <c r="B99" s="56" t="s">
        <v>412</v>
      </c>
      <c r="C99" s="56" t="s">
        <v>21</v>
      </c>
      <c r="D99" s="56" t="s">
        <v>413</v>
      </c>
      <c r="E99" s="56" t="s">
        <v>414</v>
      </c>
      <c r="F99" s="56" t="s">
        <v>415</v>
      </c>
      <c r="G99" s="56" t="s">
        <v>416</v>
      </c>
      <c r="H99" s="56" t="s">
        <v>417</v>
      </c>
      <c r="I99" s="56" t="s">
        <v>168</v>
      </c>
      <c r="J99" s="56" t="s">
        <v>418</v>
      </c>
      <c r="K99" s="56" t="s">
        <v>419</v>
      </c>
      <c r="L99" s="56"/>
      <c r="M99" s="56"/>
      <c r="N99" s="56" t="s">
        <v>303</v>
      </c>
      <c r="O99" s="56" t="s">
        <v>420</v>
      </c>
    </row>
    <row r="100" spans="1:15" ht="242.25" customHeight="1" x14ac:dyDescent="0.25">
      <c r="A100" s="56" t="s">
        <v>68</v>
      </c>
      <c r="B100" s="56" t="s">
        <v>421</v>
      </c>
      <c r="C100" s="56" t="s">
        <v>56</v>
      </c>
      <c r="D100" s="56" t="s">
        <v>422</v>
      </c>
      <c r="E100" s="56" t="s">
        <v>423</v>
      </c>
      <c r="F100" s="56" t="s">
        <v>415</v>
      </c>
      <c r="G100" s="56" t="s">
        <v>424</v>
      </c>
      <c r="H100" s="56" t="s">
        <v>425</v>
      </c>
      <c r="I100" s="56" t="s">
        <v>198</v>
      </c>
      <c r="J100" s="56"/>
      <c r="K100" s="56">
        <v>2.34</v>
      </c>
      <c r="L100" s="56"/>
      <c r="M100" s="56"/>
      <c r="N100" s="56" t="s">
        <v>303</v>
      </c>
      <c r="O100" s="56" t="s">
        <v>426</v>
      </c>
    </row>
    <row r="103" spans="1:15" ht="15" customHeight="1" x14ac:dyDescent="0.25">
      <c r="A103" s="161" t="s">
        <v>427</v>
      </c>
      <c r="B103" s="161"/>
      <c r="C103" s="161" t="s">
        <v>428</v>
      </c>
      <c r="D103" s="161"/>
      <c r="E103" s="161"/>
      <c r="F103" s="161"/>
      <c r="G103" s="161"/>
      <c r="H103" s="161"/>
      <c r="I103" s="161"/>
      <c r="J103" s="161"/>
      <c r="K103" s="162" t="s">
        <v>150</v>
      </c>
      <c r="L103" s="162"/>
      <c r="M103" s="162"/>
      <c r="N103" s="162"/>
      <c r="O103" s="162"/>
    </row>
    <row r="104" spans="1:15" ht="15" customHeight="1" x14ac:dyDescent="0.25">
      <c r="A104" s="153" t="s">
        <v>429</v>
      </c>
      <c r="B104" s="153"/>
      <c r="C104" s="153"/>
      <c r="D104" s="153"/>
      <c r="E104" s="153"/>
      <c r="F104" s="153"/>
      <c r="G104" s="153"/>
      <c r="H104" s="153"/>
      <c r="I104" s="153"/>
      <c r="J104" s="153"/>
      <c r="K104" s="153"/>
      <c r="L104" s="153"/>
      <c r="M104" s="153"/>
      <c r="N104" s="153"/>
      <c r="O104" s="153"/>
    </row>
    <row r="105" spans="1:15" ht="25.5" customHeight="1" x14ac:dyDescent="0.25">
      <c r="A105" s="156" t="s">
        <v>152</v>
      </c>
      <c r="B105" s="156"/>
      <c r="C105" s="60" t="s">
        <v>9</v>
      </c>
      <c r="D105" s="61" t="s">
        <v>153</v>
      </c>
      <c r="E105" s="61" t="s">
        <v>154</v>
      </c>
      <c r="F105" s="62" t="s">
        <v>155</v>
      </c>
      <c r="G105" s="62" t="s">
        <v>156</v>
      </c>
      <c r="H105" s="62" t="s">
        <v>245</v>
      </c>
      <c r="I105" s="62" t="s">
        <v>158</v>
      </c>
      <c r="J105" s="62" t="s">
        <v>159</v>
      </c>
      <c r="K105" s="63" t="s">
        <v>160</v>
      </c>
      <c r="L105" s="62" t="s">
        <v>161</v>
      </c>
      <c r="M105" s="62" t="s">
        <v>162</v>
      </c>
      <c r="N105" s="61" t="s">
        <v>16</v>
      </c>
      <c r="O105" s="61" t="s">
        <v>17</v>
      </c>
    </row>
    <row r="106" spans="1:15" ht="409.5" customHeight="1" x14ac:dyDescent="0.25">
      <c r="A106" s="56" t="s">
        <v>41</v>
      </c>
      <c r="D106" t="s">
        <v>430</v>
      </c>
      <c r="E106" s="48" t="s">
        <v>431</v>
      </c>
      <c r="F106" s="48" t="s">
        <v>270</v>
      </c>
      <c r="G106" s="48" t="s">
        <v>432</v>
      </c>
      <c r="H106" s="48" t="s">
        <v>433</v>
      </c>
      <c r="I106" s="48" t="s">
        <v>168</v>
      </c>
      <c r="J106" s="48" t="s">
        <v>434</v>
      </c>
      <c r="K106" s="48">
        <v>0.70599999999999996</v>
      </c>
      <c r="L106" s="48"/>
      <c r="M106" s="48"/>
      <c r="N106" s="48" t="s">
        <v>273</v>
      </c>
      <c r="O106" s="50" t="s">
        <v>435</v>
      </c>
    </row>
    <row r="107" spans="1:15" ht="306" customHeight="1" x14ac:dyDescent="0.25">
      <c r="A107" s="56" t="s">
        <v>45</v>
      </c>
      <c r="B107" s="56" t="s">
        <v>436</v>
      </c>
      <c r="C107" s="56" t="s">
        <v>437</v>
      </c>
      <c r="D107" s="56" t="s">
        <v>438</v>
      </c>
      <c r="E107" s="56" t="s">
        <v>439</v>
      </c>
      <c r="F107" s="56" t="s">
        <v>440</v>
      </c>
      <c r="G107" s="56" t="s">
        <v>441</v>
      </c>
      <c r="H107" s="56" t="s">
        <v>442</v>
      </c>
      <c r="I107" s="56" t="s">
        <v>198</v>
      </c>
      <c r="J107" s="56"/>
      <c r="K107" s="56"/>
      <c r="L107" s="56"/>
      <c r="M107" s="56"/>
      <c r="N107" s="56" t="s">
        <v>273</v>
      </c>
      <c r="O107" s="56" t="s">
        <v>443</v>
      </c>
    </row>
    <row r="108" spans="1:15" ht="409.5" customHeight="1" x14ac:dyDescent="0.25">
      <c r="A108" s="47" t="s">
        <v>296</v>
      </c>
      <c r="B108" s="47" t="s">
        <v>444</v>
      </c>
      <c r="C108" s="47" t="s">
        <v>77</v>
      </c>
      <c r="D108" s="47" t="s">
        <v>445</v>
      </c>
      <c r="E108" s="47" t="s">
        <v>446</v>
      </c>
      <c r="F108" s="47" t="s">
        <v>270</v>
      </c>
      <c r="G108" s="47" t="s">
        <v>447</v>
      </c>
      <c r="H108" s="47" t="s">
        <v>448</v>
      </c>
      <c r="I108" s="47" t="s">
        <v>198</v>
      </c>
      <c r="J108" s="47"/>
      <c r="K108" s="47"/>
      <c r="L108" s="47"/>
      <c r="M108" s="47"/>
      <c r="N108" s="47" t="s">
        <v>303</v>
      </c>
      <c r="O108" s="48" t="s">
        <v>449</v>
      </c>
    </row>
    <row r="110" spans="1:15" ht="15" customHeight="1" x14ac:dyDescent="0.25">
      <c r="A110" s="157" t="s">
        <v>450</v>
      </c>
      <c r="B110" s="157"/>
      <c r="C110" s="157" t="s">
        <v>451</v>
      </c>
      <c r="D110" s="157"/>
      <c r="E110" s="157"/>
      <c r="F110" s="157"/>
      <c r="G110" s="157"/>
      <c r="H110" s="157"/>
      <c r="I110" s="157"/>
      <c r="J110" s="157"/>
      <c r="K110" s="157" t="s">
        <v>452</v>
      </c>
      <c r="L110" s="157"/>
      <c r="M110" s="157"/>
      <c r="N110" s="158"/>
      <c r="O110" s="158"/>
    </row>
    <row r="111" spans="1:15" ht="15" customHeight="1" x14ac:dyDescent="0.25">
      <c r="A111" s="153" t="s">
        <v>453</v>
      </c>
      <c r="B111" s="153"/>
      <c r="C111" s="153"/>
      <c r="D111" s="153"/>
      <c r="E111" s="153"/>
      <c r="F111" s="153"/>
      <c r="G111" s="153"/>
      <c r="H111" s="153"/>
      <c r="I111" s="153"/>
      <c r="J111" s="153"/>
      <c r="K111" s="153"/>
      <c r="L111" s="153"/>
      <c r="M111" s="153"/>
      <c r="N111" s="153"/>
      <c r="O111" s="153"/>
    </row>
    <row r="112" spans="1:15" ht="25.5" customHeight="1" x14ac:dyDescent="0.25">
      <c r="A112" s="65" t="s">
        <v>152</v>
      </c>
      <c r="B112" s="65" t="s">
        <v>9</v>
      </c>
      <c r="C112" s="66" t="s">
        <v>153</v>
      </c>
      <c r="D112" s="66" t="s">
        <v>154</v>
      </c>
      <c r="E112" s="67" t="s">
        <v>155</v>
      </c>
      <c r="F112" s="67" t="s">
        <v>156</v>
      </c>
      <c r="G112" s="67" t="s">
        <v>245</v>
      </c>
      <c r="H112" s="67" t="s">
        <v>158</v>
      </c>
      <c r="I112" s="67" t="s">
        <v>159</v>
      </c>
      <c r="J112" s="68" t="s">
        <v>160</v>
      </c>
      <c r="K112" s="67" t="s">
        <v>161</v>
      </c>
      <c r="L112" s="67" t="s">
        <v>162</v>
      </c>
      <c r="M112" s="66" t="s">
        <v>16</v>
      </c>
      <c r="N112" s="66" t="s">
        <v>17</v>
      </c>
      <c r="O112" s="64"/>
    </row>
    <row r="113" spans="1:15" x14ac:dyDescent="0.25">
      <c r="A113" s="56" t="s">
        <v>18</v>
      </c>
      <c r="C113" s="56" t="s">
        <v>21</v>
      </c>
      <c r="K113" s="56">
        <v>0.02</v>
      </c>
    </row>
    <row r="114" spans="1:15" x14ac:dyDescent="0.25">
      <c r="A114" s="56" t="s">
        <v>27</v>
      </c>
    </row>
    <row r="115" spans="1:15" ht="76.5" customHeight="1" x14ac:dyDescent="0.25">
      <c r="A115" s="56" t="s">
        <v>48</v>
      </c>
      <c r="B115" s="56" t="s">
        <v>454</v>
      </c>
      <c r="C115" s="56" t="s">
        <v>437</v>
      </c>
      <c r="D115" s="56" t="s">
        <v>455</v>
      </c>
      <c r="E115" s="56"/>
      <c r="F115" s="56"/>
      <c r="G115" s="56" t="s">
        <v>456</v>
      </c>
      <c r="H115" s="56" t="s">
        <v>457</v>
      </c>
      <c r="I115" s="56" t="s">
        <v>198</v>
      </c>
      <c r="J115" s="56"/>
      <c r="K115" s="56"/>
      <c r="L115" s="56"/>
      <c r="M115" s="56"/>
      <c r="N115" s="56" t="s">
        <v>458</v>
      </c>
      <c r="O115" s="56" t="s">
        <v>459</v>
      </c>
    </row>
    <row r="117" spans="1:15" ht="15" customHeight="1" x14ac:dyDescent="0.25">
      <c r="A117" s="154" t="s">
        <v>460</v>
      </c>
      <c r="B117" s="154"/>
      <c r="C117" s="155" t="s">
        <v>461</v>
      </c>
      <c r="D117" s="155"/>
      <c r="E117" s="155"/>
      <c r="F117" s="155"/>
      <c r="G117" s="155"/>
      <c r="H117" s="155"/>
      <c r="I117" s="155"/>
      <c r="J117" s="155"/>
      <c r="K117" s="154" t="s">
        <v>150</v>
      </c>
      <c r="L117" s="154"/>
      <c r="M117" s="154"/>
      <c r="N117" s="69"/>
      <c r="O117" s="69"/>
    </row>
    <row r="118" spans="1:15" ht="15" customHeight="1" x14ac:dyDescent="0.25">
      <c r="A118" s="148" t="s">
        <v>462</v>
      </c>
      <c r="B118" s="148"/>
      <c r="C118" s="148"/>
      <c r="D118" s="148"/>
      <c r="E118" s="148"/>
      <c r="F118" s="148"/>
      <c r="G118" s="148"/>
      <c r="H118" s="148"/>
      <c r="I118" s="148"/>
      <c r="J118" s="148"/>
      <c r="K118" s="148"/>
      <c r="L118" s="148"/>
      <c r="M118" s="148"/>
      <c r="N118" s="148"/>
      <c r="O118" s="148"/>
    </row>
    <row r="119" spans="1:15" ht="30" x14ac:dyDescent="0.25">
      <c r="A119" s="70" t="s">
        <v>152</v>
      </c>
      <c r="B119" s="69" t="s">
        <v>4</v>
      </c>
      <c r="C119" s="69" t="s">
        <v>9</v>
      </c>
      <c r="D119" s="69" t="s">
        <v>153</v>
      </c>
      <c r="E119" s="69" t="s">
        <v>154</v>
      </c>
      <c r="F119" s="71" t="s">
        <v>155</v>
      </c>
      <c r="G119" s="71" t="s">
        <v>156</v>
      </c>
      <c r="H119" s="71" t="s">
        <v>245</v>
      </c>
      <c r="I119" s="71" t="s">
        <v>158</v>
      </c>
      <c r="J119" s="71" t="s">
        <v>159</v>
      </c>
      <c r="K119" s="71" t="s">
        <v>160</v>
      </c>
      <c r="L119" s="71" t="s">
        <v>161</v>
      </c>
      <c r="M119" s="71" t="s">
        <v>162</v>
      </c>
      <c r="N119" s="69" t="s">
        <v>16</v>
      </c>
      <c r="O119" s="69" t="s">
        <v>17</v>
      </c>
    </row>
    <row r="120" spans="1:15" ht="120" customHeight="1" x14ac:dyDescent="0.25">
      <c r="A120" s="56" t="s">
        <v>53</v>
      </c>
      <c r="B120" t="s">
        <v>463</v>
      </c>
      <c r="C120" t="s">
        <v>464</v>
      </c>
      <c r="D120" t="s">
        <v>465</v>
      </c>
      <c r="E120" t="s">
        <v>466</v>
      </c>
      <c r="F120" t="s">
        <v>320</v>
      </c>
      <c r="G120" t="s">
        <v>467</v>
      </c>
      <c r="H120" t="s">
        <v>468</v>
      </c>
      <c r="I120" t="s">
        <v>168</v>
      </c>
      <c r="J120" t="s">
        <v>469</v>
      </c>
      <c r="K120">
        <v>0.57999999999999996</v>
      </c>
      <c r="L120">
        <v>0.38</v>
      </c>
      <c r="M120">
        <v>0.78</v>
      </c>
      <c r="N120" s="50" t="s">
        <v>470</v>
      </c>
      <c r="O120" s="50" t="s">
        <v>471</v>
      </c>
    </row>
    <row r="121" spans="1:15" ht="315" customHeight="1" x14ac:dyDescent="0.25">
      <c r="A121" s="56" t="s">
        <v>53</v>
      </c>
      <c r="B121" t="s">
        <v>472</v>
      </c>
      <c r="C121" s="56" t="s">
        <v>464</v>
      </c>
      <c r="D121" t="s">
        <v>473</v>
      </c>
      <c r="E121" t="s">
        <v>474</v>
      </c>
      <c r="F121" t="s">
        <v>320</v>
      </c>
      <c r="G121" t="s">
        <v>475</v>
      </c>
      <c r="H121" t="s">
        <v>476</v>
      </c>
      <c r="I121" t="s">
        <v>198</v>
      </c>
      <c r="K121" s="56"/>
      <c r="N121" s="50" t="s">
        <v>303</v>
      </c>
      <c r="O121" s="50" t="s">
        <v>477</v>
      </c>
    </row>
    <row r="122" spans="1:15" ht="120" customHeight="1" x14ac:dyDescent="0.25">
      <c r="A122" s="56" t="s">
        <v>296</v>
      </c>
      <c r="B122" t="s">
        <v>478</v>
      </c>
      <c r="C122" t="s">
        <v>479</v>
      </c>
      <c r="D122" t="s">
        <v>480</v>
      </c>
      <c r="G122" t="s">
        <v>481</v>
      </c>
      <c r="H122" t="s">
        <v>482</v>
      </c>
      <c r="N122" s="50" t="s">
        <v>303</v>
      </c>
      <c r="O122" s="50" t="s">
        <v>483</v>
      </c>
    </row>
    <row r="123" spans="1:15" x14ac:dyDescent="0.25">
      <c r="A123" s="56"/>
      <c r="C123" s="56"/>
      <c r="K123" s="56"/>
      <c r="N123" s="56"/>
    </row>
    <row r="124" spans="1:15" x14ac:dyDescent="0.25">
      <c r="A124" s="149"/>
      <c r="B124" s="149"/>
      <c r="C124" s="149"/>
      <c r="D124" s="149"/>
      <c r="E124" s="149"/>
      <c r="F124" s="149"/>
      <c r="G124" s="149"/>
      <c r="H124" s="149"/>
      <c r="I124" s="149"/>
      <c r="J124" s="149"/>
      <c r="K124" s="149"/>
      <c r="L124" s="149"/>
      <c r="M124" s="149"/>
      <c r="N124" s="149"/>
      <c r="O124" s="149"/>
    </row>
    <row r="125" spans="1:15" ht="15" customHeight="1" x14ac:dyDescent="0.25">
      <c r="A125" s="150" t="s">
        <v>484</v>
      </c>
      <c r="B125" s="150"/>
      <c r="C125" s="72"/>
      <c r="D125" s="151" t="s">
        <v>485</v>
      </c>
      <c r="E125" s="151"/>
      <c r="F125" s="151"/>
      <c r="G125" s="151"/>
      <c r="H125" s="151"/>
      <c r="I125" s="151"/>
      <c r="J125" s="151"/>
      <c r="K125" s="151"/>
      <c r="L125" s="152" t="s">
        <v>150</v>
      </c>
      <c r="M125" s="152"/>
      <c r="N125" s="72"/>
      <c r="O125" s="72"/>
    </row>
    <row r="126" spans="1:15" ht="15" customHeight="1" x14ac:dyDescent="0.25">
      <c r="A126" s="148" t="s">
        <v>486</v>
      </c>
      <c r="B126" s="148"/>
      <c r="C126" s="148"/>
      <c r="D126" s="148"/>
      <c r="E126" s="148"/>
      <c r="F126" s="148"/>
      <c r="G126" s="148"/>
      <c r="H126" s="148"/>
      <c r="I126" s="148"/>
      <c r="J126" s="148"/>
      <c r="K126" s="148"/>
      <c r="L126" s="148"/>
      <c r="M126" s="148"/>
      <c r="N126" s="148"/>
      <c r="O126" s="148"/>
    </row>
    <row r="127" spans="1:15" ht="25.5" customHeight="1" x14ac:dyDescent="0.25">
      <c r="A127" s="73" t="s">
        <v>152</v>
      </c>
      <c r="B127" s="73" t="s">
        <v>4</v>
      </c>
      <c r="C127" s="73" t="s">
        <v>9</v>
      </c>
      <c r="D127" s="73" t="s">
        <v>153</v>
      </c>
      <c r="E127" s="73" t="s">
        <v>154</v>
      </c>
      <c r="F127" s="73" t="s">
        <v>155</v>
      </c>
      <c r="G127" s="73" t="s">
        <v>156</v>
      </c>
      <c r="H127" s="73" t="s">
        <v>245</v>
      </c>
      <c r="I127" s="73" t="s">
        <v>158</v>
      </c>
      <c r="J127" s="73" t="s">
        <v>159</v>
      </c>
      <c r="K127" s="73" t="s">
        <v>160</v>
      </c>
      <c r="L127" s="73" t="s">
        <v>161</v>
      </c>
      <c r="M127" s="73" t="s">
        <v>162</v>
      </c>
      <c r="N127" s="73" t="s">
        <v>16</v>
      </c>
      <c r="O127" s="73" t="s">
        <v>17</v>
      </c>
    </row>
    <row r="128" spans="1:15" ht="89.25" customHeight="1" x14ac:dyDescent="0.25">
      <c r="A128" s="56" t="s">
        <v>48</v>
      </c>
      <c r="B128" s="56" t="s">
        <v>487</v>
      </c>
      <c r="C128" s="56" t="s">
        <v>488</v>
      </c>
      <c r="D128" s="56" t="s">
        <v>489</v>
      </c>
      <c r="E128" s="56"/>
      <c r="F128" s="56"/>
      <c r="G128" s="56" t="s">
        <v>490</v>
      </c>
      <c r="H128" s="56" t="s">
        <v>491</v>
      </c>
      <c r="I128" s="56" t="s">
        <v>168</v>
      </c>
      <c r="J128" s="56" t="s">
        <v>492</v>
      </c>
      <c r="K128" s="56"/>
      <c r="L128" s="56"/>
      <c r="M128" s="56"/>
      <c r="N128" s="56" t="s">
        <v>493</v>
      </c>
      <c r="O128" s="56" t="s">
        <v>494</v>
      </c>
    </row>
    <row r="130" spans="1:15" ht="15" customHeight="1" x14ac:dyDescent="0.25">
      <c r="A130" s="147" t="s">
        <v>495</v>
      </c>
      <c r="B130" s="147"/>
      <c r="C130" s="147" t="s">
        <v>496</v>
      </c>
      <c r="D130" s="147"/>
      <c r="E130" s="147"/>
      <c r="F130" s="147"/>
      <c r="G130" s="147"/>
      <c r="H130" s="147"/>
      <c r="I130" s="147"/>
      <c r="J130" s="147"/>
      <c r="K130" s="147" t="s">
        <v>265</v>
      </c>
      <c r="L130" s="147"/>
      <c r="M130" s="147"/>
      <c r="N130" s="147"/>
      <c r="O130" s="147"/>
    </row>
    <row r="131" spans="1:15" ht="15" customHeight="1" x14ac:dyDescent="0.25">
      <c r="A131" s="148" t="s">
        <v>497</v>
      </c>
      <c r="B131" s="148"/>
      <c r="C131" s="148"/>
      <c r="D131" s="148"/>
      <c r="E131" s="148"/>
      <c r="F131" s="148"/>
      <c r="G131" s="148"/>
      <c r="H131" s="148"/>
      <c r="I131" s="148"/>
      <c r="J131" s="148"/>
      <c r="K131" s="148"/>
      <c r="L131" s="148"/>
      <c r="M131" s="148"/>
      <c r="N131" s="148"/>
      <c r="O131" s="148"/>
    </row>
    <row r="132" spans="1:15" ht="25.5" customHeight="1" x14ac:dyDescent="0.25">
      <c r="A132" s="74" t="s">
        <v>152</v>
      </c>
      <c r="B132" s="74" t="s">
        <v>4</v>
      </c>
      <c r="C132" s="74" t="s">
        <v>9</v>
      </c>
      <c r="D132" s="74" t="s">
        <v>153</v>
      </c>
      <c r="E132" s="74" t="s">
        <v>154</v>
      </c>
      <c r="F132" s="74" t="s">
        <v>155</v>
      </c>
      <c r="G132" s="74" t="s">
        <v>156</v>
      </c>
      <c r="H132" s="74" t="s">
        <v>245</v>
      </c>
      <c r="I132" s="74" t="s">
        <v>158</v>
      </c>
      <c r="J132" s="74" t="s">
        <v>159</v>
      </c>
      <c r="K132" s="74" t="s">
        <v>160</v>
      </c>
      <c r="L132" s="74" t="s">
        <v>161</v>
      </c>
      <c r="M132" s="74" t="s">
        <v>162</v>
      </c>
      <c r="N132" s="74" t="s">
        <v>16</v>
      </c>
      <c r="O132" s="74" t="s">
        <v>17</v>
      </c>
    </row>
    <row r="133" spans="1:15" ht="89.25" customHeight="1" x14ac:dyDescent="0.25">
      <c r="A133" s="56" t="s">
        <v>18</v>
      </c>
      <c r="B133" s="56" t="s">
        <v>498</v>
      </c>
      <c r="C133" s="56" t="s">
        <v>499</v>
      </c>
      <c r="D133" s="56">
        <v>8.4</v>
      </c>
      <c r="E133" s="56" t="s">
        <v>500</v>
      </c>
      <c r="F133" s="56" t="s">
        <v>397</v>
      </c>
      <c r="G133" s="56" t="s">
        <v>501</v>
      </c>
      <c r="H133" s="56" t="s">
        <v>502</v>
      </c>
      <c r="I133" s="56" t="s">
        <v>168</v>
      </c>
      <c r="J133" s="56" t="s">
        <v>503</v>
      </c>
      <c r="K133" s="56">
        <v>1.43</v>
      </c>
      <c r="L133" s="56"/>
      <c r="M133" s="56"/>
      <c r="N133" s="56" t="s">
        <v>504</v>
      </c>
      <c r="O133" s="56" t="s">
        <v>505</v>
      </c>
    </row>
    <row r="134" spans="1:15" ht="89.25" customHeight="1" x14ac:dyDescent="0.25">
      <c r="A134" s="56" t="s">
        <v>296</v>
      </c>
      <c r="B134" s="56" t="s">
        <v>506</v>
      </c>
      <c r="C134" s="56" t="s">
        <v>342</v>
      </c>
      <c r="D134" s="56" t="s">
        <v>507</v>
      </c>
      <c r="E134" s="56"/>
      <c r="F134" s="56"/>
      <c r="G134" s="56" t="s">
        <v>508</v>
      </c>
      <c r="H134" s="56" t="s">
        <v>509</v>
      </c>
      <c r="I134" s="56" t="s">
        <v>198</v>
      </c>
      <c r="J134" s="56"/>
      <c r="K134" s="56"/>
      <c r="L134" s="56"/>
      <c r="M134" s="56"/>
      <c r="N134" s="56" t="s">
        <v>504</v>
      </c>
      <c r="O134" s="56" t="s">
        <v>510</v>
      </c>
    </row>
  </sheetData>
  <autoFilter ref="A1:A134" xr:uid="{00000000-0009-0000-0000-000001000000}"/>
  <mergeCells count="99">
    <mergeCell ref="A1:O1"/>
    <mergeCell ref="A2:O2"/>
    <mergeCell ref="A3:O3"/>
    <mergeCell ref="A5:B5"/>
    <mergeCell ref="C5:J5"/>
    <mergeCell ref="K5:M5"/>
    <mergeCell ref="N5:O5"/>
    <mergeCell ref="A6:O6"/>
    <mergeCell ref="S8:V8"/>
    <mergeCell ref="A19:B19"/>
    <mergeCell ref="C19:J19"/>
    <mergeCell ref="K19:M19"/>
    <mergeCell ref="N19:O19"/>
    <mergeCell ref="A20:O20"/>
    <mergeCell ref="A27:B27"/>
    <mergeCell ref="C27:J27"/>
    <mergeCell ref="K27:M27"/>
    <mergeCell ref="N27:O27"/>
    <mergeCell ref="A28:O28"/>
    <mergeCell ref="K36:M36"/>
    <mergeCell ref="N36:O36"/>
    <mergeCell ref="A37:O37"/>
    <mergeCell ref="A38:B38"/>
    <mergeCell ref="C38:J38"/>
    <mergeCell ref="K38:O38"/>
    <mergeCell ref="A39:O39"/>
    <mergeCell ref="A49:B49"/>
    <mergeCell ref="C49:J49"/>
    <mergeCell ref="K49:M49"/>
    <mergeCell ref="N49:O49"/>
    <mergeCell ref="A50:O50"/>
    <mergeCell ref="A56:B56"/>
    <mergeCell ref="C56:J56"/>
    <mergeCell ref="K56:M56"/>
    <mergeCell ref="N56:O56"/>
    <mergeCell ref="A57:O57"/>
    <mergeCell ref="A58:B58"/>
    <mergeCell ref="C58:J58"/>
    <mergeCell ref="K58:M58"/>
    <mergeCell ref="N58:O58"/>
    <mergeCell ref="A59:O59"/>
    <mergeCell ref="A63:B63"/>
    <mergeCell ref="C63:J63"/>
    <mergeCell ref="K63:M63"/>
    <mergeCell ref="N63:O63"/>
    <mergeCell ref="A64:O64"/>
    <mergeCell ref="A65:B65"/>
    <mergeCell ref="C65:J65"/>
    <mergeCell ref="K65:M65"/>
    <mergeCell ref="N65:O65"/>
    <mergeCell ref="A66:O66"/>
    <mergeCell ref="A70:B70"/>
    <mergeCell ref="C70:J70"/>
    <mergeCell ref="K70:M70"/>
    <mergeCell ref="N70:O70"/>
    <mergeCell ref="A71:O71"/>
    <mergeCell ref="A72:B72"/>
    <mergeCell ref="C72:J72"/>
    <mergeCell ref="K72:M72"/>
    <mergeCell ref="N72:O72"/>
    <mergeCell ref="A73:O73"/>
    <mergeCell ref="K86:M86"/>
    <mergeCell ref="N86:O86"/>
    <mergeCell ref="A87:O87"/>
    <mergeCell ref="A88:B88"/>
    <mergeCell ref="C88:J88"/>
    <mergeCell ref="K88:O88"/>
    <mergeCell ref="A89:O89"/>
    <mergeCell ref="A93:B93"/>
    <mergeCell ref="C93:J93"/>
    <mergeCell ref="K93:M93"/>
    <mergeCell ref="N93:O93"/>
    <mergeCell ref="A94:O94"/>
    <mergeCell ref="A96:B96"/>
    <mergeCell ref="C96:I96"/>
    <mergeCell ref="A97:O97"/>
    <mergeCell ref="A103:B103"/>
    <mergeCell ref="C103:J103"/>
    <mergeCell ref="K103:O103"/>
    <mergeCell ref="A104:O104"/>
    <mergeCell ref="A105:B105"/>
    <mergeCell ref="A110:B110"/>
    <mergeCell ref="C110:J110"/>
    <mergeCell ref="K110:M110"/>
    <mergeCell ref="N110:O110"/>
    <mergeCell ref="A111:O111"/>
    <mergeCell ref="A117:B117"/>
    <mergeCell ref="C117:J117"/>
    <mergeCell ref="K117:M117"/>
    <mergeCell ref="A118:O118"/>
    <mergeCell ref="A130:B130"/>
    <mergeCell ref="C130:J130"/>
    <mergeCell ref="K130:O130"/>
    <mergeCell ref="A131:O131"/>
    <mergeCell ref="A124:O124"/>
    <mergeCell ref="A125:B125"/>
    <mergeCell ref="D125:K125"/>
    <mergeCell ref="L125:M125"/>
    <mergeCell ref="A126:O12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7"/>
  <sheetViews>
    <sheetView showGridLines="0" zoomScale="85" zoomScaleNormal="85" workbookViewId="0">
      <selection activeCell="C29" sqref="C29"/>
    </sheetView>
  </sheetViews>
  <sheetFormatPr defaultColWidth="8.7109375" defaultRowHeight="15" x14ac:dyDescent="0.25"/>
  <cols>
    <col min="1" max="6" width="18" customWidth="1"/>
    <col min="7" max="7" width="25" customWidth="1"/>
  </cols>
  <sheetData>
    <row r="1" spans="1:14" ht="27.75" customHeight="1" x14ac:dyDescent="0.25">
      <c r="A1" s="144" t="s">
        <v>511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1:14" ht="18" customHeight="1" x14ac:dyDescent="0.25">
      <c r="A2" s="145" t="s">
        <v>512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4" spans="1:14" x14ac:dyDescent="0.25">
      <c r="A4" s="1" t="s">
        <v>513</v>
      </c>
      <c r="B4" s="1" t="s">
        <v>514</v>
      </c>
      <c r="C4" s="1" t="s">
        <v>515</v>
      </c>
      <c r="D4" s="1" t="s">
        <v>516</v>
      </c>
      <c r="E4" s="1" t="s">
        <v>517</v>
      </c>
    </row>
    <row r="5" spans="1:14" ht="25.5" customHeight="1" x14ac:dyDescent="0.25">
      <c r="A5" s="75" t="s">
        <v>518</v>
      </c>
      <c r="B5" s="76" t="s">
        <v>519</v>
      </c>
      <c r="C5" s="2" t="s">
        <v>520</v>
      </c>
      <c r="D5" s="2" t="s">
        <v>198</v>
      </c>
      <c r="E5" s="2" t="s">
        <v>521</v>
      </c>
    </row>
    <row r="6" spans="1:14" ht="25.5" customHeight="1" x14ac:dyDescent="0.25">
      <c r="A6" s="77" t="s">
        <v>522</v>
      </c>
      <c r="B6" s="78" t="s">
        <v>523</v>
      </c>
      <c r="C6" s="6" t="s">
        <v>524</v>
      </c>
      <c r="D6" s="6" t="s">
        <v>198</v>
      </c>
      <c r="E6" s="6" t="s">
        <v>525</v>
      </c>
    </row>
    <row r="7" spans="1:14" ht="38.25" customHeight="1" x14ac:dyDescent="0.25">
      <c r="A7" s="79" t="s">
        <v>526</v>
      </c>
      <c r="B7" s="80" t="s">
        <v>527</v>
      </c>
      <c r="C7" s="2" t="s">
        <v>528</v>
      </c>
      <c r="D7" s="2" t="s">
        <v>198</v>
      </c>
      <c r="E7" s="2" t="s">
        <v>529</v>
      </c>
    </row>
    <row r="8" spans="1:14" ht="38.25" customHeight="1" x14ac:dyDescent="0.25">
      <c r="A8" s="81" t="s">
        <v>530</v>
      </c>
      <c r="B8" s="82" t="s">
        <v>531</v>
      </c>
      <c r="C8" s="6" t="s">
        <v>532</v>
      </c>
      <c r="D8" s="6" t="s">
        <v>198</v>
      </c>
      <c r="E8" s="6" t="s">
        <v>533</v>
      </c>
    </row>
    <row r="9" spans="1:14" x14ac:dyDescent="0.25">
      <c r="A9" s="83" t="s">
        <v>534</v>
      </c>
      <c r="B9" s="84" t="s">
        <v>535</v>
      </c>
      <c r="C9" s="2" t="s">
        <v>536</v>
      </c>
      <c r="D9" s="2" t="s">
        <v>537</v>
      </c>
      <c r="E9" s="2" t="s">
        <v>538</v>
      </c>
    </row>
    <row r="10" spans="1:14" ht="51" customHeight="1" x14ac:dyDescent="0.25">
      <c r="A10" s="85" t="s">
        <v>539</v>
      </c>
      <c r="B10" s="86" t="s">
        <v>540</v>
      </c>
      <c r="C10" s="6" t="s">
        <v>541</v>
      </c>
      <c r="D10" s="6" t="s">
        <v>537</v>
      </c>
      <c r="E10" s="6" t="s">
        <v>542</v>
      </c>
    </row>
    <row r="12" spans="1:14" ht="15.75" customHeight="1" x14ac:dyDescent="0.25">
      <c r="A12" s="203" t="s">
        <v>543</v>
      </c>
      <c r="B12" s="203"/>
      <c r="C12" s="203"/>
      <c r="D12" s="203"/>
      <c r="E12" s="203"/>
      <c r="F12" s="203"/>
      <c r="G12" s="203"/>
    </row>
    <row r="13" spans="1:14" ht="30" customHeight="1" x14ac:dyDescent="0.25">
      <c r="A13" s="146" t="s">
        <v>544</v>
      </c>
      <c r="B13" s="146"/>
      <c r="C13" s="146"/>
      <c r="D13" s="146"/>
      <c r="E13" s="146"/>
      <c r="F13" s="146"/>
      <c r="G13" s="146"/>
      <c r="H13" s="146"/>
    </row>
    <row r="14" spans="1:14" x14ac:dyDescent="0.25">
      <c r="A14" s="87" t="s">
        <v>545</v>
      </c>
      <c r="B14" s="87" t="s">
        <v>546</v>
      </c>
      <c r="C14" s="88" t="s">
        <v>547</v>
      </c>
      <c r="D14" s="89" t="s">
        <v>548</v>
      </c>
      <c r="E14" s="90" t="s">
        <v>549</v>
      </c>
      <c r="F14" s="91" t="s">
        <v>550</v>
      </c>
    </row>
    <row r="15" spans="1:14" ht="31.5" customHeight="1" x14ac:dyDescent="0.25">
      <c r="A15" s="87" t="s">
        <v>546</v>
      </c>
      <c r="B15" s="92" t="s">
        <v>551</v>
      </c>
      <c r="C15" s="93" t="s">
        <v>552</v>
      </c>
      <c r="D15" s="94" t="s">
        <v>66</v>
      </c>
      <c r="E15" s="94" t="s">
        <v>66</v>
      </c>
      <c r="F15" s="94" t="s">
        <v>66</v>
      </c>
    </row>
    <row r="16" spans="1:14" ht="31.5" customHeight="1" x14ac:dyDescent="0.25">
      <c r="A16" s="88" t="s">
        <v>547</v>
      </c>
      <c r="B16" s="94" t="s">
        <v>66</v>
      </c>
      <c r="C16" s="92" t="s">
        <v>551</v>
      </c>
      <c r="D16" s="93" t="s">
        <v>553</v>
      </c>
      <c r="E16" s="94" t="s">
        <v>66</v>
      </c>
      <c r="F16" s="94" t="s">
        <v>66</v>
      </c>
    </row>
    <row r="17" spans="1:7" ht="31.5" customHeight="1" x14ac:dyDescent="0.25">
      <c r="A17" s="89" t="s">
        <v>548</v>
      </c>
      <c r="B17" s="94" t="s">
        <v>66</v>
      </c>
      <c r="C17" s="95" t="s">
        <v>66</v>
      </c>
      <c r="D17" s="92" t="s">
        <v>551</v>
      </c>
      <c r="E17" s="93" t="s">
        <v>554</v>
      </c>
      <c r="F17" s="94" t="s">
        <v>66</v>
      </c>
    </row>
    <row r="18" spans="1:7" ht="31.5" customHeight="1" x14ac:dyDescent="0.25">
      <c r="A18" s="90" t="s">
        <v>549</v>
      </c>
      <c r="B18" s="94" t="s">
        <v>66</v>
      </c>
      <c r="C18" s="94" t="s">
        <v>66</v>
      </c>
      <c r="D18" s="94" t="s">
        <v>66</v>
      </c>
      <c r="E18" s="92" t="s">
        <v>551</v>
      </c>
      <c r="F18" s="93" t="s">
        <v>555</v>
      </c>
    </row>
    <row r="19" spans="1:7" ht="31.5" customHeight="1" x14ac:dyDescent="0.25">
      <c r="A19" s="91" t="s">
        <v>550</v>
      </c>
      <c r="B19" s="94" t="s">
        <v>66</v>
      </c>
      <c r="C19" s="94" t="s">
        <v>66</v>
      </c>
      <c r="D19" s="94" t="s">
        <v>66</v>
      </c>
      <c r="E19" s="94" t="s">
        <v>66</v>
      </c>
      <c r="F19" s="96" t="s">
        <v>556</v>
      </c>
    </row>
    <row r="21" spans="1:7" x14ac:dyDescent="0.25">
      <c r="A21" s="97" t="s">
        <v>557</v>
      </c>
    </row>
    <row r="22" spans="1:7" x14ac:dyDescent="0.25">
      <c r="A22" s="98" t="s">
        <v>558</v>
      </c>
    </row>
    <row r="24" spans="1:7" x14ac:dyDescent="0.25">
      <c r="A24" s="99" t="s">
        <v>4</v>
      </c>
      <c r="B24" s="99" t="s">
        <v>559</v>
      </c>
      <c r="C24" s="99" t="s">
        <v>560</v>
      </c>
      <c r="D24" s="99" t="s">
        <v>561</v>
      </c>
      <c r="E24" s="99" t="s">
        <v>562</v>
      </c>
      <c r="F24" s="99" t="s">
        <v>563</v>
      </c>
      <c r="G24" s="99" t="s">
        <v>564</v>
      </c>
    </row>
    <row r="25" spans="1:7" ht="72" customHeight="1" x14ac:dyDescent="0.25">
      <c r="A25" s="100" t="s">
        <v>565</v>
      </c>
      <c r="B25" s="100" t="s">
        <v>566</v>
      </c>
      <c r="C25" s="100" t="s">
        <v>567</v>
      </c>
      <c r="D25" s="100" t="s">
        <v>568</v>
      </c>
      <c r="E25" s="100" t="s">
        <v>569</v>
      </c>
      <c r="F25" s="100" t="s">
        <v>570</v>
      </c>
      <c r="G25" s="100" t="s">
        <v>571</v>
      </c>
    </row>
    <row r="26" spans="1:7" ht="60" customHeight="1" x14ac:dyDescent="0.25">
      <c r="A26" s="100" t="s">
        <v>572</v>
      </c>
      <c r="B26" s="100" t="s">
        <v>573</v>
      </c>
      <c r="C26" s="100" t="s">
        <v>574</v>
      </c>
      <c r="D26" s="100" t="s">
        <v>575</v>
      </c>
      <c r="E26" s="100" t="s">
        <v>576</v>
      </c>
      <c r="F26" s="100" t="s">
        <v>577</v>
      </c>
      <c r="G26" s="100" t="s">
        <v>578</v>
      </c>
    </row>
    <row r="27" spans="1:7" ht="60" customHeight="1" x14ac:dyDescent="0.25">
      <c r="A27" s="100" t="s">
        <v>579</v>
      </c>
      <c r="B27" s="100" t="s">
        <v>580</v>
      </c>
      <c r="C27" s="100" t="s">
        <v>574</v>
      </c>
      <c r="D27" s="100" t="s">
        <v>581</v>
      </c>
      <c r="E27" s="100" t="s">
        <v>582</v>
      </c>
      <c r="F27" s="100" t="s">
        <v>583</v>
      </c>
      <c r="G27" s="100" t="s">
        <v>584</v>
      </c>
    </row>
    <row r="28" spans="1:7" ht="72" customHeight="1" x14ac:dyDescent="0.25">
      <c r="A28" s="100" t="s">
        <v>585</v>
      </c>
      <c r="B28" s="100" t="s">
        <v>586</v>
      </c>
      <c r="C28" s="100" t="s">
        <v>587</v>
      </c>
      <c r="D28" s="100" t="s">
        <v>588</v>
      </c>
      <c r="E28" s="100" t="s">
        <v>589</v>
      </c>
      <c r="F28" s="100" t="s">
        <v>590</v>
      </c>
      <c r="G28" s="100" t="s">
        <v>591</v>
      </c>
    </row>
    <row r="29" spans="1:7" ht="84" customHeight="1" x14ac:dyDescent="0.25">
      <c r="A29" s="100" t="s">
        <v>592</v>
      </c>
      <c r="B29" s="100" t="s">
        <v>177</v>
      </c>
      <c r="C29" s="100" t="s">
        <v>593</v>
      </c>
      <c r="D29" s="100" t="s">
        <v>594</v>
      </c>
      <c r="E29" s="100" t="s">
        <v>595</v>
      </c>
      <c r="F29" s="100" t="s">
        <v>177</v>
      </c>
      <c r="G29" s="100" t="s">
        <v>177</v>
      </c>
    </row>
    <row r="31" spans="1:7" x14ac:dyDescent="0.25">
      <c r="A31" s="97" t="s">
        <v>596</v>
      </c>
    </row>
    <row r="32" spans="1:7" x14ac:dyDescent="0.25">
      <c r="A32" s="98" t="s">
        <v>597</v>
      </c>
    </row>
    <row r="34" spans="1:7" x14ac:dyDescent="0.25">
      <c r="A34" s="99" t="s">
        <v>598</v>
      </c>
      <c r="B34" s="99" t="s">
        <v>599</v>
      </c>
      <c r="C34" s="99" t="s">
        <v>600</v>
      </c>
      <c r="D34" s="99" t="s">
        <v>601</v>
      </c>
      <c r="E34" s="99" t="s">
        <v>602</v>
      </c>
      <c r="F34" s="99" t="s">
        <v>603</v>
      </c>
      <c r="G34" s="99" t="s">
        <v>604</v>
      </c>
    </row>
    <row r="35" spans="1:7" x14ac:dyDescent="0.25">
      <c r="A35" s="100" t="s">
        <v>605</v>
      </c>
      <c r="B35" s="100" t="s">
        <v>606</v>
      </c>
      <c r="C35" s="100" t="s">
        <v>606</v>
      </c>
      <c r="D35" s="100" t="s">
        <v>606</v>
      </c>
      <c r="E35" s="100" t="s">
        <v>606</v>
      </c>
      <c r="F35" s="100" t="s">
        <v>607</v>
      </c>
      <c r="G35" s="100" t="s">
        <v>608</v>
      </c>
    </row>
    <row r="36" spans="1:7" ht="24" customHeight="1" x14ac:dyDescent="0.25">
      <c r="A36" s="100" t="s">
        <v>609</v>
      </c>
      <c r="B36" s="100" t="s">
        <v>606</v>
      </c>
      <c r="C36" s="100" t="s">
        <v>610</v>
      </c>
      <c r="D36" s="100" t="s">
        <v>610</v>
      </c>
      <c r="E36" s="100" t="s">
        <v>606</v>
      </c>
      <c r="F36" s="100" t="s">
        <v>611</v>
      </c>
      <c r="G36" s="100" t="s">
        <v>612</v>
      </c>
    </row>
    <row r="37" spans="1:7" ht="36" customHeight="1" x14ac:dyDescent="0.25">
      <c r="A37" s="100" t="s">
        <v>613</v>
      </c>
      <c r="B37" s="100" t="s">
        <v>606</v>
      </c>
      <c r="C37" s="100" t="s">
        <v>610</v>
      </c>
      <c r="D37" s="100" t="s">
        <v>614</v>
      </c>
      <c r="E37" s="100" t="s">
        <v>615</v>
      </c>
      <c r="F37" s="100" t="s">
        <v>616</v>
      </c>
      <c r="G37" s="100" t="s">
        <v>617</v>
      </c>
    </row>
  </sheetData>
  <mergeCells count="4">
    <mergeCell ref="A1:N1"/>
    <mergeCell ref="A2:N2"/>
    <mergeCell ref="A12:G12"/>
    <mergeCell ref="A13:H13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40"/>
  <sheetViews>
    <sheetView zoomScale="85" zoomScaleNormal="85" workbookViewId="0">
      <pane ySplit="4" topLeftCell="A5" activePane="bottomLeft" state="frozen"/>
      <selection pane="bottomLeft" activeCell="E43" sqref="E43"/>
    </sheetView>
  </sheetViews>
  <sheetFormatPr defaultColWidth="8.7109375" defaultRowHeight="15" x14ac:dyDescent="0.25"/>
  <cols>
    <col min="1" max="1" width="9" customWidth="1"/>
    <col min="2" max="5" width="10" customWidth="1"/>
    <col min="6" max="6" width="16" customWidth="1"/>
    <col min="7" max="12" width="10" customWidth="1"/>
    <col min="13" max="13" width="18" customWidth="1"/>
    <col min="14" max="14" width="16" customWidth="1"/>
    <col min="15" max="15" width="30" customWidth="1"/>
  </cols>
  <sheetData>
    <row r="1" spans="1:15" ht="27.75" customHeight="1" x14ac:dyDescent="0.25">
      <c r="A1" s="144" t="s">
        <v>618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  <c r="O1" s="144"/>
    </row>
    <row r="2" spans="1:15" ht="18" customHeight="1" x14ac:dyDescent="0.25">
      <c r="A2" s="145" t="s">
        <v>619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  <c r="O2" s="145"/>
    </row>
    <row r="3" spans="1:15" ht="65.25" customHeight="1" x14ac:dyDescent="0.25">
      <c r="A3" s="146" t="s">
        <v>620</v>
      </c>
      <c r="B3" s="146"/>
      <c r="C3" s="146"/>
      <c r="D3" s="146"/>
      <c r="E3" s="146"/>
      <c r="F3" s="146"/>
      <c r="G3" s="146"/>
      <c r="H3" s="146"/>
      <c r="I3" s="146"/>
      <c r="J3" s="146"/>
      <c r="K3" s="146"/>
      <c r="L3" s="146"/>
      <c r="M3" s="146"/>
      <c r="N3" s="146"/>
      <c r="O3" s="146"/>
    </row>
    <row r="4" spans="1:15" ht="27.75" customHeight="1" x14ac:dyDescent="0.25">
      <c r="A4" s="1" t="s">
        <v>621</v>
      </c>
      <c r="B4" s="1" t="s">
        <v>622</v>
      </c>
      <c r="C4" s="1" t="s">
        <v>623</v>
      </c>
      <c r="D4" s="1" t="s">
        <v>624</v>
      </c>
      <c r="E4" s="1" t="s">
        <v>625</v>
      </c>
      <c r="F4" s="1" t="s">
        <v>626</v>
      </c>
      <c r="G4" s="1" t="s">
        <v>599</v>
      </c>
      <c r="H4" s="1" t="s">
        <v>600</v>
      </c>
      <c r="I4" s="1" t="s">
        <v>601</v>
      </c>
      <c r="J4" s="1" t="s">
        <v>627</v>
      </c>
      <c r="K4" s="1" t="s">
        <v>628</v>
      </c>
      <c r="L4" s="1" t="s">
        <v>629</v>
      </c>
      <c r="M4" s="1" t="s">
        <v>630</v>
      </c>
      <c r="N4" s="1" t="s">
        <v>631</v>
      </c>
      <c r="O4" s="1" t="s">
        <v>17</v>
      </c>
    </row>
    <row r="5" spans="1:15" ht="18" customHeight="1" x14ac:dyDescent="0.25">
      <c r="A5" s="2">
        <v>1</v>
      </c>
      <c r="B5" s="101" t="s">
        <v>198</v>
      </c>
      <c r="C5" s="2" t="s">
        <v>632</v>
      </c>
      <c r="D5" s="2" t="s">
        <v>633</v>
      </c>
      <c r="E5" s="2" t="s">
        <v>634</v>
      </c>
      <c r="F5" s="102">
        <v>1</v>
      </c>
      <c r="G5" s="103">
        <v>4.4999999999999998E-2</v>
      </c>
      <c r="H5" s="103">
        <v>2.1999999999999999E-2</v>
      </c>
      <c r="I5" s="103">
        <v>1.7999999999999999E-2</v>
      </c>
      <c r="J5" s="103">
        <v>3.1E-2</v>
      </c>
      <c r="K5" s="103">
        <f t="shared" ref="K5:K40" si="0">J5*L5</f>
        <v>1.3950000000000001E-2</v>
      </c>
      <c r="L5" s="103">
        <v>0.45</v>
      </c>
      <c r="M5" s="103">
        <v>0.57999999999999996</v>
      </c>
      <c r="N5" s="2" t="s">
        <v>353</v>
      </c>
      <c r="O5" s="2"/>
    </row>
    <row r="6" spans="1:15" ht="18" customHeight="1" x14ac:dyDescent="0.25">
      <c r="A6" s="6">
        <v>2</v>
      </c>
      <c r="B6" s="101" t="s">
        <v>198</v>
      </c>
      <c r="C6" s="6" t="s">
        <v>632</v>
      </c>
      <c r="D6" s="6" t="s">
        <v>633</v>
      </c>
      <c r="E6" s="6" t="s">
        <v>635</v>
      </c>
      <c r="F6" s="104">
        <v>0.92</v>
      </c>
      <c r="G6" s="105">
        <v>4.1399999999999999E-2</v>
      </c>
      <c r="H6" s="105">
        <v>2.0240000000000001E-2</v>
      </c>
      <c r="I6" s="105">
        <v>1.6559999999999998E-2</v>
      </c>
      <c r="J6" s="105">
        <v>2.852E-2</v>
      </c>
      <c r="K6" s="103">
        <f t="shared" si="0"/>
        <v>1.2834E-2</v>
      </c>
      <c r="L6" s="105">
        <v>0.45</v>
      </c>
      <c r="M6" s="105">
        <v>0.57999999999999996</v>
      </c>
      <c r="N6" s="6" t="s">
        <v>353</v>
      </c>
      <c r="O6" s="6"/>
    </row>
    <row r="7" spans="1:15" ht="18" customHeight="1" x14ac:dyDescent="0.25">
      <c r="A7" s="2">
        <v>3</v>
      </c>
      <c r="B7" s="101" t="s">
        <v>198</v>
      </c>
      <c r="C7" s="2" t="s">
        <v>632</v>
      </c>
      <c r="D7" s="2" t="s">
        <v>636</v>
      </c>
      <c r="E7" s="2" t="s">
        <v>634</v>
      </c>
      <c r="F7" s="102">
        <v>1.22</v>
      </c>
      <c r="G7" s="103">
        <v>5.4899999999999997E-2</v>
      </c>
      <c r="H7" s="103">
        <v>2.6839999999999999E-2</v>
      </c>
      <c r="I7" s="103">
        <v>2.196E-2</v>
      </c>
      <c r="J7" s="103">
        <v>3.7819999999999999E-2</v>
      </c>
      <c r="K7" s="103">
        <f t="shared" si="0"/>
        <v>1.7018999999999999E-2</v>
      </c>
      <c r="L7" s="103">
        <v>0.45</v>
      </c>
      <c r="M7" s="103">
        <v>0.57999999999999996</v>
      </c>
      <c r="N7" s="2" t="s">
        <v>353</v>
      </c>
      <c r="O7" s="2"/>
    </row>
    <row r="8" spans="1:15" ht="18" customHeight="1" x14ac:dyDescent="0.25">
      <c r="A8" s="6">
        <v>4</v>
      </c>
      <c r="B8" s="101" t="s">
        <v>198</v>
      </c>
      <c r="C8" s="6" t="s">
        <v>632</v>
      </c>
      <c r="D8" s="6" t="s">
        <v>636</v>
      </c>
      <c r="E8" s="6" t="s">
        <v>635</v>
      </c>
      <c r="F8" s="102">
        <v>1.1220000000000001</v>
      </c>
      <c r="G8" s="105">
        <v>5.0509999999999999E-2</v>
      </c>
      <c r="H8" s="105">
        <v>2.469E-2</v>
      </c>
      <c r="I8" s="105">
        <v>2.0199999999999999E-2</v>
      </c>
      <c r="J8" s="105">
        <v>3.4790000000000001E-2</v>
      </c>
      <c r="K8" s="103">
        <f t="shared" si="0"/>
        <v>1.5655500000000003E-2</v>
      </c>
      <c r="L8" s="105">
        <v>0.45</v>
      </c>
      <c r="M8" s="105">
        <v>0.57999999999999996</v>
      </c>
      <c r="N8" s="6" t="s">
        <v>353</v>
      </c>
      <c r="O8" s="6"/>
    </row>
    <row r="9" spans="1:15" ht="18" customHeight="1" x14ac:dyDescent="0.25">
      <c r="A9" s="2">
        <v>5</v>
      </c>
      <c r="B9" s="101" t="s">
        <v>198</v>
      </c>
      <c r="C9" s="2" t="s">
        <v>632</v>
      </c>
      <c r="D9" s="2" t="s">
        <v>637</v>
      </c>
      <c r="E9" s="2" t="s">
        <v>634</v>
      </c>
      <c r="F9" s="102">
        <v>1.49</v>
      </c>
      <c r="G9" s="103">
        <v>6.7049999999999998E-2</v>
      </c>
      <c r="H9" s="103">
        <v>3.2779999999999997E-2</v>
      </c>
      <c r="I9" s="103">
        <v>2.682E-2</v>
      </c>
      <c r="J9" s="103">
        <v>4.6190000000000002E-2</v>
      </c>
      <c r="K9" s="103">
        <f t="shared" si="0"/>
        <v>2.0785500000000002E-2</v>
      </c>
      <c r="L9" s="103">
        <v>0.45</v>
      </c>
      <c r="M9" s="103">
        <v>0.57999999999999996</v>
      </c>
      <c r="N9" s="2" t="s">
        <v>353</v>
      </c>
      <c r="O9" s="2"/>
    </row>
    <row r="10" spans="1:15" ht="18" customHeight="1" x14ac:dyDescent="0.25">
      <c r="A10" s="6">
        <v>6</v>
      </c>
      <c r="B10" s="101" t="s">
        <v>198</v>
      </c>
      <c r="C10" s="6" t="s">
        <v>632</v>
      </c>
      <c r="D10" s="6" t="s">
        <v>637</v>
      </c>
      <c r="E10" s="6" t="s">
        <v>635</v>
      </c>
      <c r="F10" s="102">
        <v>1.371</v>
      </c>
      <c r="G10" s="105">
        <v>6.1690000000000002E-2</v>
      </c>
      <c r="H10" s="105">
        <v>3.0159999999999999E-2</v>
      </c>
      <c r="I10" s="105">
        <v>2.4670000000000001E-2</v>
      </c>
      <c r="J10" s="105">
        <v>4.249E-2</v>
      </c>
      <c r="K10" s="103">
        <f t="shared" si="0"/>
        <v>1.9120500000000002E-2</v>
      </c>
      <c r="L10" s="105">
        <v>0.45</v>
      </c>
      <c r="M10" s="105">
        <v>0.57999999999999996</v>
      </c>
      <c r="N10" s="6" t="s">
        <v>353</v>
      </c>
      <c r="O10" s="6"/>
    </row>
    <row r="11" spans="1:15" ht="18" customHeight="1" x14ac:dyDescent="0.25">
      <c r="A11" s="2">
        <v>7</v>
      </c>
      <c r="B11" s="101" t="s">
        <v>198</v>
      </c>
      <c r="C11" s="2" t="s">
        <v>638</v>
      </c>
      <c r="D11" s="2" t="s">
        <v>633</v>
      </c>
      <c r="E11" s="2" t="s">
        <v>634</v>
      </c>
      <c r="F11" s="102">
        <v>1.2</v>
      </c>
      <c r="G11" s="103">
        <v>5.3999999999999999E-2</v>
      </c>
      <c r="H11" s="103">
        <v>2.64E-2</v>
      </c>
      <c r="I11" s="103">
        <v>2.1600000000000001E-2</v>
      </c>
      <c r="J11" s="103">
        <v>3.7199999999999997E-2</v>
      </c>
      <c r="K11" s="103">
        <f t="shared" si="0"/>
        <v>1.6739999999999998E-2</v>
      </c>
      <c r="L11" s="103">
        <v>0.45</v>
      </c>
      <c r="M11" s="103">
        <v>0.57999999999999996</v>
      </c>
      <c r="N11" s="2" t="s">
        <v>353</v>
      </c>
      <c r="O11" s="2"/>
    </row>
    <row r="12" spans="1:15" ht="18" customHeight="1" x14ac:dyDescent="0.25">
      <c r="A12" s="6">
        <v>8</v>
      </c>
      <c r="B12" s="101" t="s">
        <v>198</v>
      </c>
      <c r="C12" s="6" t="s">
        <v>638</v>
      </c>
      <c r="D12" s="6" t="s">
        <v>633</v>
      </c>
      <c r="E12" s="6" t="s">
        <v>635</v>
      </c>
      <c r="F12" s="102">
        <v>1.1040000000000001</v>
      </c>
      <c r="G12" s="105">
        <v>4.9680000000000002E-2</v>
      </c>
      <c r="H12" s="105">
        <v>2.4289999999999999E-2</v>
      </c>
      <c r="I12" s="105">
        <v>1.9869999999999999E-2</v>
      </c>
      <c r="J12" s="105">
        <v>3.422E-2</v>
      </c>
      <c r="K12" s="103">
        <f t="shared" si="0"/>
        <v>1.5399000000000001E-2</v>
      </c>
      <c r="L12" s="105">
        <v>0.45</v>
      </c>
      <c r="M12" s="105">
        <v>0.57999999999999996</v>
      </c>
      <c r="N12" s="6" t="s">
        <v>353</v>
      </c>
      <c r="O12" s="6"/>
    </row>
    <row r="13" spans="1:15" ht="18" customHeight="1" x14ac:dyDescent="0.25">
      <c r="A13" s="2">
        <v>9</v>
      </c>
      <c r="B13" s="101" t="s">
        <v>198</v>
      </c>
      <c r="C13" s="2" t="s">
        <v>638</v>
      </c>
      <c r="D13" s="2" t="s">
        <v>636</v>
      </c>
      <c r="E13" s="2" t="s">
        <v>634</v>
      </c>
      <c r="F13" s="102">
        <v>1.464</v>
      </c>
      <c r="G13" s="103">
        <v>6.5879999999999994E-2</v>
      </c>
      <c r="H13" s="103">
        <v>3.2210000000000003E-2</v>
      </c>
      <c r="I13" s="103">
        <v>2.6349999999999998E-2</v>
      </c>
      <c r="J13" s="103">
        <v>4.5379999999999997E-2</v>
      </c>
      <c r="K13" s="103">
        <f t="shared" si="0"/>
        <v>2.0420999999999998E-2</v>
      </c>
      <c r="L13" s="103">
        <v>0.45</v>
      </c>
      <c r="M13" s="103">
        <v>0.57999999999999996</v>
      </c>
      <c r="N13" s="2" t="s">
        <v>353</v>
      </c>
      <c r="O13" s="2"/>
    </row>
    <row r="14" spans="1:15" ht="18" customHeight="1" x14ac:dyDescent="0.25">
      <c r="A14" s="6">
        <v>10</v>
      </c>
      <c r="B14" s="101" t="s">
        <v>198</v>
      </c>
      <c r="C14" s="6" t="s">
        <v>638</v>
      </c>
      <c r="D14" s="6" t="s">
        <v>636</v>
      </c>
      <c r="E14" s="6" t="s">
        <v>635</v>
      </c>
      <c r="F14" s="102">
        <v>1.347</v>
      </c>
      <c r="G14" s="105">
        <v>6.0609999999999997E-2</v>
      </c>
      <c r="H14" s="105">
        <v>2.963E-2</v>
      </c>
      <c r="I14" s="105">
        <v>2.4240000000000001E-2</v>
      </c>
      <c r="J14" s="105">
        <v>4.1750000000000002E-2</v>
      </c>
      <c r="K14" s="103">
        <f t="shared" si="0"/>
        <v>1.8787500000000002E-2</v>
      </c>
      <c r="L14" s="105">
        <v>0.45</v>
      </c>
      <c r="M14" s="105">
        <v>0.57999999999999996</v>
      </c>
      <c r="N14" s="6" t="s">
        <v>353</v>
      </c>
      <c r="O14" s="6"/>
    </row>
    <row r="15" spans="1:15" ht="18" customHeight="1" x14ac:dyDescent="0.25">
      <c r="A15" s="2">
        <v>11</v>
      </c>
      <c r="B15" s="101" t="s">
        <v>198</v>
      </c>
      <c r="C15" s="2" t="s">
        <v>638</v>
      </c>
      <c r="D15" s="2" t="s">
        <v>637</v>
      </c>
      <c r="E15" s="2" t="s">
        <v>634</v>
      </c>
      <c r="F15" s="102">
        <v>1.788</v>
      </c>
      <c r="G15" s="103">
        <v>8.0460000000000004E-2</v>
      </c>
      <c r="H15" s="103">
        <v>3.934E-2</v>
      </c>
      <c r="I15" s="103">
        <v>3.218E-2</v>
      </c>
      <c r="J15" s="103">
        <v>5.543E-2</v>
      </c>
      <c r="K15" s="103">
        <f t="shared" si="0"/>
        <v>2.49435E-2</v>
      </c>
      <c r="L15" s="103">
        <v>0.45</v>
      </c>
      <c r="M15" s="103">
        <v>0.57999999999999996</v>
      </c>
      <c r="N15" s="2" t="s">
        <v>353</v>
      </c>
      <c r="O15" s="2"/>
    </row>
    <row r="16" spans="1:15" ht="18" customHeight="1" x14ac:dyDescent="0.25">
      <c r="A16" s="6">
        <v>12</v>
      </c>
      <c r="B16" s="101" t="s">
        <v>198</v>
      </c>
      <c r="C16" s="6" t="s">
        <v>638</v>
      </c>
      <c r="D16" s="6" t="s">
        <v>637</v>
      </c>
      <c r="E16" s="6" t="s">
        <v>635</v>
      </c>
      <c r="F16" s="102">
        <v>1.645</v>
      </c>
      <c r="G16" s="105">
        <v>7.4020000000000002E-2</v>
      </c>
      <c r="H16" s="105">
        <v>3.619E-2</v>
      </c>
      <c r="I16" s="105">
        <v>2.9610000000000001E-2</v>
      </c>
      <c r="J16" s="105">
        <v>5.0990000000000001E-2</v>
      </c>
      <c r="K16" s="103">
        <f t="shared" si="0"/>
        <v>2.2945500000000001E-2</v>
      </c>
      <c r="L16" s="105">
        <v>0.45</v>
      </c>
      <c r="M16" s="105">
        <v>0.57999999999999996</v>
      </c>
      <c r="N16" s="6" t="s">
        <v>353</v>
      </c>
      <c r="O16" s="6"/>
    </row>
    <row r="17" spans="1:15" ht="18" customHeight="1" x14ac:dyDescent="0.25">
      <c r="A17" s="2">
        <v>13</v>
      </c>
      <c r="B17" s="101" t="s">
        <v>198</v>
      </c>
      <c r="C17" s="2" t="s">
        <v>639</v>
      </c>
      <c r="D17" s="2" t="s">
        <v>633</v>
      </c>
      <c r="E17" s="2" t="s">
        <v>634</v>
      </c>
      <c r="F17" s="102">
        <v>1.64</v>
      </c>
      <c r="G17" s="103">
        <v>7.3800000000000004E-2</v>
      </c>
      <c r="H17" s="103">
        <v>3.6080000000000001E-2</v>
      </c>
      <c r="I17" s="103">
        <v>2.9520000000000001E-2</v>
      </c>
      <c r="J17" s="103">
        <v>5.0840000000000003E-2</v>
      </c>
      <c r="K17" s="103">
        <f t="shared" si="0"/>
        <v>2.2878000000000003E-2</v>
      </c>
      <c r="L17" s="103">
        <v>0.45</v>
      </c>
      <c r="M17" s="103">
        <v>0.57999999999999996</v>
      </c>
      <c r="N17" s="2" t="s">
        <v>353</v>
      </c>
      <c r="O17" s="2"/>
    </row>
    <row r="18" spans="1:15" ht="18" customHeight="1" x14ac:dyDescent="0.25">
      <c r="A18" s="6">
        <v>14</v>
      </c>
      <c r="B18" s="101" t="s">
        <v>198</v>
      </c>
      <c r="C18" s="6" t="s">
        <v>639</v>
      </c>
      <c r="D18" s="6" t="s">
        <v>633</v>
      </c>
      <c r="E18" s="6" t="s">
        <v>635</v>
      </c>
      <c r="F18" s="102">
        <v>1.5089999999999999</v>
      </c>
      <c r="G18" s="105">
        <v>6.7900000000000002E-2</v>
      </c>
      <c r="H18" s="105">
        <v>3.3189999999999997E-2</v>
      </c>
      <c r="I18" s="105">
        <v>2.716E-2</v>
      </c>
      <c r="J18" s="105">
        <v>4.6769999999999999E-2</v>
      </c>
      <c r="K18" s="103">
        <f t="shared" si="0"/>
        <v>2.1046499999999999E-2</v>
      </c>
      <c r="L18" s="105">
        <v>0.45</v>
      </c>
      <c r="M18" s="105">
        <v>0.57999999999999996</v>
      </c>
      <c r="N18" s="6" t="s">
        <v>353</v>
      </c>
      <c r="O18" s="6"/>
    </row>
    <row r="19" spans="1:15" ht="18" customHeight="1" x14ac:dyDescent="0.25">
      <c r="A19" s="2">
        <v>15</v>
      </c>
      <c r="B19" s="101" t="s">
        <v>198</v>
      </c>
      <c r="C19" s="2" t="s">
        <v>639</v>
      </c>
      <c r="D19" s="2" t="s">
        <v>636</v>
      </c>
      <c r="E19" s="2" t="s">
        <v>634</v>
      </c>
      <c r="F19" s="106">
        <v>2.0009999999999999</v>
      </c>
      <c r="G19" s="103">
        <v>9.0039999999999995E-2</v>
      </c>
      <c r="H19" s="103">
        <v>4.4019999999999997E-2</v>
      </c>
      <c r="I19" s="103">
        <v>3.601E-2</v>
      </c>
      <c r="J19" s="103">
        <v>6.2019999999999999E-2</v>
      </c>
      <c r="K19" s="103">
        <f t="shared" si="0"/>
        <v>2.7909E-2</v>
      </c>
      <c r="L19" s="103">
        <v>0.45</v>
      </c>
      <c r="M19" s="103">
        <v>0.57999999999999996</v>
      </c>
      <c r="N19" s="2" t="s">
        <v>353</v>
      </c>
      <c r="O19" s="2"/>
    </row>
    <row r="20" spans="1:15" ht="18" customHeight="1" x14ac:dyDescent="0.25">
      <c r="A20" s="6">
        <v>16</v>
      </c>
      <c r="B20" s="101" t="s">
        <v>198</v>
      </c>
      <c r="C20" s="6" t="s">
        <v>639</v>
      </c>
      <c r="D20" s="6" t="s">
        <v>636</v>
      </c>
      <c r="E20" s="6" t="s">
        <v>635</v>
      </c>
      <c r="F20" s="102">
        <v>1.841</v>
      </c>
      <c r="G20" s="105">
        <v>8.2830000000000001E-2</v>
      </c>
      <c r="H20" s="105">
        <v>4.0500000000000001E-2</v>
      </c>
      <c r="I20" s="105">
        <v>3.313E-2</v>
      </c>
      <c r="J20" s="105">
        <v>5.706E-2</v>
      </c>
      <c r="K20" s="103">
        <f t="shared" si="0"/>
        <v>2.5677000000000002E-2</v>
      </c>
      <c r="L20" s="105">
        <v>0.45</v>
      </c>
      <c r="M20" s="105">
        <v>0.57999999999999996</v>
      </c>
      <c r="N20" s="6" t="s">
        <v>353</v>
      </c>
      <c r="O20" s="6"/>
    </row>
    <row r="21" spans="1:15" ht="18" customHeight="1" x14ac:dyDescent="0.25">
      <c r="A21" s="2">
        <v>17</v>
      </c>
      <c r="B21" s="101" t="s">
        <v>198</v>
      </c>
      <c r="C21" s="2" t="s">
        <v>639</v>
      </c>
      <c r="D21" s="2" t="s">
        <v>637</v>
      </c>
      <c r="E21" s="2" t="s">
        <v>634</v>
      </c>
      <c r="F21" s="106">
        <v>2.444</v>
      </c>
      <c r="G21" s="103">
        <v>0.10996</v>
      </c>
      <c r="H21" s="103">
        <v>5.3760000000000002E-2</v>
      </c>
      <c r="I21" s="103">
        <v>4.3979999999999998E-2</v>
      </c>
      <c r="J21" s="103">
        <v>7.5749999999999998E-2</v>
      </c>
      <c r="K21" s="103">
        <f t="shared" si="0"/>
        <v>3.40875E-2</v>
      </c>
      <c r="L21" s="103">
        <v>0.45</v>
      </c>
      <c r="M21" s="103">
        <v>0.57999999999999996</v>
      </c>
      <c r="N21" s="2" t="s">
        <v>353</v>
      </c>
      <c r="O21" s="2"/>
    </row>
    <row r="22" spans="1:15" ht="18" customHeight="1" x14ac:dyDescent="0.25">
      <c r="A22" s="6">
        <v>18</v>
      </c>
      <c r="B22" s="101" t="s">
        <v>198</v>
      </c>
      <c r="C22" s="6" t="s">
        <v>639</v>
      </c>
      <c r="D22" s="6" t="s">
        <v>637</v>
      </c>
      <c r="E22" s="6" t="s">
        <v>635</v>
      </c>
      <c r="F22" s="106">
        <v>2.2480000000000002</v>
      </c>
      <c r="G22" s="105">
        <v>0.10117</v>
      </c>
      <c r="H22" s="105">
        <v>4.9459999999999997E-2</v>
      </c>
      <c r="I22" s="105">
        <v>4.0469999999999999E-2</v>
      </c>
      <c r="J22" s="105">
        <v>6.9690000000000002E-2</v>
      </c>
      <c r="K22" s="103">
        <f t="shared" si="0"/>
        <v>3.1360499999999999E-2</v>
      </c>
      <c r="L22" s="105">
        <v>0.45</v>
      </c>
      <c r="M22" s="105">
        <v>0.57999999999999996</v>
      </c>
      <c r="N22" s="6" t="s">
        <v>353</v>
      </c>
      <c r="O22" s="6"/>
    </row>
    <row r="23" spans="1:15" ht="18" customHeight="1" x14ac:dyDescent="0.25">
      <c r="A23" s="2">
        <v>19</v>
      </c>
      <c r="B23" s="107" t="s">
        <v>168</v>
      </c>
      <c r="C23" s="2" t="s">
        <v>632</v>
      </c>
      <c r="D23" s="2" t="s">
        <v>633</v>
      </c>
      <c r="E23" s="2" t="s">
        <v>634</v>
      </c>
      <c r="F23" s="106">
        <v>2.1</v>
      </c>
      <c r="G23" s="103">
        <v>9.4500000000000001E-2</v>
      </c>
      <c r="H23" s="103">
        <v>4.6199999999999998E-2</v>
      </c>
      <c r="I23" s="103">
        <v>3.78E-2</v>
      </c>
      <c r="J23" s="103">
        <v>6.5100000000000005E-2</v>
      </c>
      <c r="K23" s="103">
        <f t="shared" si="0"/>
        <v>2.9295000000000002E-2</v>
      </c>
      <c r="L23" s="103">
        <v>0.45</v>
      </c>
      <c r="M23" s="103">
        <v>0.57999999999999996</v>
      </c>
      <c r="N23" s="2" t="s">
        <v>353</v>
      </c>
      <c r="O23" s="2"/>
    </row>
    <row r="24" spans="1:15" ht="18" customHeight="1" x14ac:dyDescent="0.25">
      <c r="A24" s="6">
        <v>20</v>
      </c>
      <c r="B24" s="107" t="s">
        <v>168</v>
      </c>
      <c r="C24" s="6" t="s">
        <v>632</v>
      </c>
      <c r="D24" s="6" t="s">
        <v>633</v>
      </c>
      <c r="E24" s="6" t="s">
        <v>635</v>
      </c>
      <c r="F24" s="102">
        <v>1.9319999999999999</v>
      </c>
      <c r="G24" s="105">
        <v>8.6940000000000003E-2</v>
      </c>
      <c r="H24" s="105">
        <v>4.2500000000000003E-2</v>
      </c>
      <c r="I24" s="105">
        <v>3.4779999999999998E-2</v>
      </c>
      <c r="J24" s="105">
        <v>5.9889999999999999E-2</v>
      </c>
      <c r="K24" s="103">
        <f t="shared" si="0"/>
        <v>2.6950499999999999E-2</v>
      </c>
      <c r="L24" s="105">
        <v>0.45</v>
      </c>
      <c r="M24" s="105">
        <v>0.57999999999999996</v>
      </c>
      <c r="N24" s="6" t="s">
        <v>353</v>
      </c>
      <c r="O24" s="6"/>
    </row>
    <row r="25" spans="1:15" ht="18" customHeight="1" x14ac:dyDescent="0.25">
      <c r="A25" s="2">
        <v>21</v>
      </c>
      <c r="B25" s="107" t="s">
        <v>168</v>
      </c>
      <c r="C25" s="2" t="s">
        <v>632</v>
      </c>
      <c r="D25" s="2" t="s">
        <v>636</v>
      </c>
      <c r="E25" s="2" t="s">
        <v>634</v>
      </c>
      <c r="F25" s="106">
        <v>2.5619999999999998</v>
      </c>
      <c r="G25" s="103">
        <v>0.11529</v>
      </c>
      <c r="H25" s="103">
        <v>5.636E-2</v>
      </c>
      <c r="I25" s="103">
        <v>4.6120000000000001E-2</v>
      </c>
      <c r="J25" s="103">
        <v>7.9420000000000004E-2</v>
      </c>
      <c r="K25" s="103">
        <f t="shared" si="0"/>
        <v>3.5739E-2</v>
      </c>
      <c r="L25" s="103">
        <v>0.45</v>
      </c>
      <c r="M25" s="103">
        <v>0.57999999999999996</v>
      </c>
      <c r="N25" s="2" t="s">
        <v>353</v>
      </c>
      <c r="O25" s="2"/>
    </row>
    <row r="26" spans="1:15" ht="18" customHeight="1" x14ac:dyDescent="0.25">
      <c r="A26" s="6">
        <v>22</v>
      </c>
      <c r="B26" s="107" t="s">
        <v>168</v>
      </c>
      <c r="C26" s="6" t="s">
        <v>632</v>
      </c>
      <c r="D26" s="6" t="s">
        <v>636</v>
      </c>
      <c r="E26" s="6" t="s">
        <v>635</v>
      </c>
      <c r="F26" s="106">
        <v>2.3570000000000002</v>
      </c>
      <c r="G26" s="105">
        <v>0.10607</v>
      </c>
      <c r="H26" s="105">
        <v>5.185E-2</v>
      </c>
      <c r="I26" s="105">
        <v>4.2430000000000002E-2</v>
      </c>
      <c r="J26" s="105">
        <v>7.3069999999999996E-2</v>
      </c>
      <c r="K26" s="103">
        <f t="shared" si="0"/>
        <v>3.2881500000000001E-2</v>
      </c>
      <c r="L26" s="105">
        <v>0.45</v>
      </c>
      <c r="M26" s="105">
        <v>0.57999999999999996</v>
      </c>
      <c r="N26" s="6" t="s">
        <v>353</v>
      </c>
      <c r="O26" s="6"/>
    </row>
    <row r="27" spans="1:15" ht="18" customHeight="1" x14ac:dyDescent="0.25">
      <c r="A27" s="2">
        <v>23</v>
      </c>
      <c r="B27" s="107" t="s">
        <v>168</v>
      </c>
      <c r="C27" s="2" t="s">
        <v>632</v>
      </c>
      <c r="D27" s="2" t="s">
        <v>637</v>
      </c>
      <c r="E27" s="2" t="s">
        <v>634</v>
      </c>
      <c r="F27" s="106">
        <v>3.129</v>
      </c>
      <c r="G27" s="103">
        <v>0.14080000000000001</v>
      </c>
      <c r="H27" s="103">
        <v>6.8839999999999998E-2</v>
      </c>
      <c r="I27" s="103">
        <v>5.6320000000000002E-2</v>
      </c>
      <c r="J27" s="103">
        <v>9.7000000000000003E-2</v>
      </c>
      <c r="K27" s="103">
        <f t="shared" si="0"/>
        <v>4.3650000000000001E-2</v>
      </c>
      <c r="L27" s="103">
        <v>0.45</v>
      </c>
      <c r="M27" s="103">
        <v>0.57999999999999996</v>
      </c>
      <c r="N27" s="2" t="s">
        <v>353</v>
      </c>
      <c r="O27" s="2"/>
    </row>
    <row r="28" spans="1:15" ht="18" customHeight="1" x14ac:dyDescent="0.25">
      <c r="A28" s="6">
        <v>24</v>
      </c>
      <c r="B28" s="107" t="s">
        <v>168</v>
      </c>
      <c r="C28" s="6" t="s">
        <v>632</v>
      </c>
      <c r="D28" s="6" t="s">
        <v>637</v>
      </c>
      <c r="E28" s="6" t="s">
        <v>635</v>
      </c>
      <c r="F28" s="106">
        <v>2.879</v>
      </c>
      <c r="G28" s="105">
        <v>0.12953999999999999</v>
      </c>
      <c r="H28" s="105">
        <v>6.3329999999999997E-2</v>
      </c>
      <c r="I28" s="105">
        <v>5.1819999999999998E-2</v>
      </c>
      <c r="J28" s="105">
        <v>8.924E-2</v>
      </c>
      <c r="K28" s="103">
        <f t="shared" si="0"/>
        <v>4.0157999999999999E-2</v>
      </c>
      <c r="L28" s="105">
        <v>0.45</v>
      </c>
      <c r="M28" s="105">
        <v>0.57999999999999996</v>
      </c>
      <c r="N28" s="6" t="s">
        <v>353</v>
      </c>
      <c r="O28" s="6"/>
    </row>
    <row r="29" spans="1:15" ht="18" customHeight="1" x14ac:dyDescent="0.25">
      <c r="A29" s="2">
        <v>25</v>
      </c>
      <c r="B29" s="107" t="s">
        <v>168</v>
      </c>
      <c r="C29" s="2" t="s">
        <v>638</v>
      </c>
      <c r="D29" s="2" t="s">
        <v>633</v>
      </c>
      <c r="E29" s="2" t="s">
        <v>634</v>
      </c>
      <c r="F29" s="106">
        <v>2.52</v>
      </c>
      <c r="G29" s="103">
        <v>0.1134</v>
      </c>
      <c r="H29" s="103">
        <v>5.5440000000000003E-2</v>
      </c>
      <c r="I29" s="103">
        <v>4.5359999999999998E-2</v>
      </c>
      <c r="J29" s="103">
        <v>7.8119999999999995E-2</v>
      </c>
      <c r="K29" s="103">
        <f t="shared" si="0"/>
        <v>3.5153999999999998E-2</v>
      </c>
      <c r="L29" s="103">
        <v>0.45</v>
      </c>
      <c r="M29" s="103">
        <v>0.57999999999999996</v>
      </c>
      <c r="N29" s="2" t="s">
        <v>353</v>
      </c>
      <c r="O29" s="2"/>
    </row>
    <row r="30" spans="1:15" ht="18" customHeight="1" x14ac:dyDescent="0.25">
      <c r="A30" s="6">
        <v>26</v>
      </c>
      <c r="B30" s="107" t="s">
        <v>168</v>
      </c>
      <c r="C30" s="6" t="s">
        <v>638</v>
      </c>
      <c r="D30" s="6" t="s">
        <v>633</v>
      </c>
      <c r="E30" s="6" t="s">
        <v>635</v>
      </c>
      <c r="F30" s="106">
        <v>2.3180000000000001</v>
      </c>
      <c r="G30" s="105">
        <v>0.10433000000000001</v>
      </c>
      <c r="H30" s="105">
        <v>5.0999999999999997E-2</v>
      </c>
      <c r="I30" s="105">
        <v>4.1730000000000003E-2</v>
      </c>
      <c r="J30" s="105">
        <v>7.1870000000000003E-2</v>
      </c>
      <c r="K30" s="103">
        <f t="shared" si="0"/>
        <v>3.2341500000000002E-2</v>
      </c>
      <c r="L30" s="105">
        <v>0.45</v>
      </c>
      <c r="M30" s="105">
        <v>0.57999999999999996</v>
      </c>
      <c r="N30" s="6" t="s">
        <v>353</v>
      </c>
      <c r="O30" s="6"/>
    </row>
    <row r="31" spans="1:15" ht="18" customHeight="1" x14ac:dyDescent="0.25">
      <c r="A31" s="2">
        <v>27</v>
      </c>
      <c r="B31" s="107" t="s">
        <v>168</v>
      </c>
      <c r="C31" s="2" t="s">
        <v>638</v>
      </c>
      <c r="D31" s="2" t="s">
        <v>636</v>
      </c>
      <c r="E31" s="2" t="s">
        <v>634</v>
      </c>
      <c r="F31" s="106">
        <v>3.0739999999999998</v>
      </c>
      <c r="G31" s="103">
        <v>0.13835</v>
      </c>
      <c r="H31" s="103">
        <v>6.7640000000000006E-2</v>
      </c>
      <c r="I31" s="103">
        <v>5.534E-2</v>
      </c>
      <c r="J31" s="103">
        <v>9.5310000000000006E-2</v>
      </c>
      <c r="K31" s="103">
        <f t="shared" si="0"/>
        <v>4.2889500000000004E-2</v>
      </c>
      <c r="L31" s="103">
        <v>0.45</v>
      </c>
      <c r="M31" s="103">
        <v>0.57999999999999996</v>
      </c>
      <c r="N31" s="2" t="s">
        <v>353</v>
      </c>
      <c r="O31" s="2"/>
    </row>
    <row r="32" spans="1:15" ht="18" customHeight="1" x14ac:dyDescent="0.25">
      <c r="A32" s="6">
        <v>28</v>
      </c>
      <c r="B32" s="107" t="s">
        <v>168</v>
      </c>
      <c r="C32" s="6" t="s">
        <v>638</v>
      </c>
      <c r="D32" s="6" t="s">
        <v>636</v>
      </c>
      <c r="E32" s="6" t="s">
        <v>635</v>
      </c>
      <c r="F32" s="106">
        <v>2.8279999999999998</v>
      </c>
      <c r="G32" s="105">
        <v>0.12728</v>
      </c>
      <c r="H32" s="105">
        <v>6.2230000000000001E-2</v>
      </c>
      <c r="I32" s="105">
        <v>5.0909999999999997E-2</v>
      </c>
      <c r="J32" s="105">
        <v>8.7679999999999994E-2</v>
      </c>
      <c r="K32" s="103">
        <f t="shared" si="0"/>
        <v>3.9455999999999998E-2</v>
      </c>
      <c r="L32" s="105">
        <v>0.45</v>
      </c>
      <c r="M32" s="105">
        <v>0.57999999999999996</v>
      </c>
      <c r="N32" s="6" t="s">
        <v>353</v>
      </c>
      <c r="O32" s="6"/>
    </row>
    <row r="33" spans="1:15" ht="18" customHeight="1" x14ac:dyDescent="0.25">
      <c r="A33" s="2">
        <v>29</v>
      </c>
      <c r="B33" s="107" t="s">
        <v>168</v>
      </c>
      <c r="C33" s="2" t="s">
        <v>638</v>
      </c>
      <c r="D33" s="2" t="s">
        <v>637</v>
      </c>
      <c r="E33" s="2" t="s">
        <v>634</v>
      </c>
      <c r="F33" s="108">
        <v>3.7549999999999999</v>
      </c>
      <c r="G33" s="103">
        <v>0.16897000000000001</v>
      </c>
      <c r="H33" s="103">
        <v>8.2610000000000003E-2</v>
      </c>
      <c r="I33" s="103">
        <v>6.7589999999999997E-2</v>
      </c>
      <c r="J33" s="103">
        <v>0.1164</v>
      </c>
      <c r="K33" s="103">
        <f t="shared" si="0"/>
        <v>5.2380000000000003E-2</v>
      </c>
      <c r="L33" s="103">
        <v>0.45</v>
      </c>
      <c r="M33" s="103">
        <v>0.57999999999999996</v>
      </c>
      <c r="N33" s="2" t="s">
        <v>353</v>
      </c>
      <c r="O33" s="2"/>
    </row>
    <row r="34" spans="1:15" ht="18" customHeight="1" x14ac:dyDescent="0.25">
      <c r="A34" s="6">
        <v>30</v>
      </c>
      <c r="B34" s="107" t="s">
        <v>168</v>
      </c>
      <c r="C34" s="6" t="s">
        <v>638</v>
      </c>
      <c r="D34" s="6" t="s">
        <v>637</v>
      </c>
      <c r="E34" s="6" t="s">
        <v>635</v>
      </c>
      <c r="F34" s="106">
        <v>3.4540000000000002</v>
      </c>
      <c r="G34" s="105">
        <v>0.15545</v>
      </c>
      <c r="H34" s="105">
        <v>7.5999999999999998E-2</v>
      </c>
      <c r="I34" s="105">
        <v>6.2179999999999999E-2</v>
      </c>
      <c r="J34" s="105">
        <v>0.10709</v>
      </c>
      <c r="K34" s="103">
        <f t="shared" si="0"/>
        <v>4.8190500000000004E-2</v>
      </c>
      <c r="L34" s="105">
        <v>0.45</v>
      </c>
      <c r="M34" s="105">
        <v>0.57999999999999996</v>
      </c>
      <c r="N34" s="6" t="s">
        <v>353</v>
      </c>
      <c r="O34" s="6"/>
    </row>
    <row r="35" spans="1:15" ht="18" customHeight="1" x14ac:dyDescent="0.25">
      <c r="A35" s="2">
        <v>31</v>
      </c>
      <c r="B35" s="107" t="s">
        <v>168</v>
      </c>
      <c r="C35" s="2" t="s">
        <v>639</v>
      </c>
      <c r="D35" s="2" t="s">
        <v>633</v>
      </c>
      <c r="E35" s="2" t="s">
        <v>634</v>
      </c>
      <c r="F35" s="106">
        <v>3.444</v>
      </c>
      <c r="G35" s="103">
        <v>0.15498000000000001</v>
      </c>
      <c r="H35" s="103">
        <v>7.5770000000000004E-2</v>
      </c>
      <c r="I35" s="103">
        <v>6.1990000000000003E-2</v>
      </c>
      <c r="J35" s="103">
        <v>0.10675999999999999</v>
      </c>
      <c r="K35" s="103">
        <f t="shared" si="0"/>
        <v>4.8042000000000001E-2</v>
      </c>
      <c r="L35" s="103">
        <v>0.45</v>
      </c>
      <c r="M35" s="103">
        <v>0.57999999999999996</v>
      </c>
      <c r="N35" s="2" t="s">
        <v>353</v>
      </c>
      <c r="O35" s="2"/>
    </row>
    <row r="36" spans="1:15" ht="18" customHeight="1" x14ac:dyDescent="0.25">
      <c r="A36" s="6">
        <v>32</v>
      </c>
      <c r="B36" s="107" t="s">
        <v>168</v>
      </c>
      <c r="C36" s="6" t="s">
        <v>639</v>
      </c>
      <c r="D36" s="6" t="s">
        <v>633</v>
      </c>
      <c r="E36" s="6" t="s">
        <v>635</v>
      </c>
      <c r="F36" s="106">
        <v>3.1680000000000001</v>
      </c>
      <c r="G36" s="105">
        <v>0.14258000000000001</v>
      </c>
      <c r="H36" s="105">
        <v>6.9709999999999994E-2</v>
      </c>
      <c r="I36" s="105">
        <v>5.7029999999999997E-2</v>
      </c>
      <c r="J36" s="105">
        <v>9.8220000000000002E-2</v>
      </c>
      <c r="K36" s="103">
        <f t="shared" si="0"/>
        <v>4.4199000000000002E-2</v>
      </c>
      <c r="L36" s="105">
        <v>0.45</v>
      </c>
      <c r="M36" s="105">
        <v>0.57999999999999996</v>
      </c>
      <c r="N36" s="6" t="s">
        <v>353</v>
      </c>
      <c r="O36" s="6"/>
    </row>
    <row r="37" spans="1:15" ht="18" customHeight="1" x14ac:dyDescent="0.25">
      <c r="A37" s="2">
        <v>33</v>
      </c>
      <c r="B37" s="107" t="s">
        <v>168</v>
      </c>
      <c r="C37" s="2" t="s">
        <v>639</v>
      </c>
      <c r="D37" s="2" t="s">
        <v>636</v>
      </c>
      <c r="E37" s="2" t="s">
        <v>634</v>
      </c>
      <c r="F37" s="108">
        <v>4.202</v>
      </c>
      <c r="G37" s="103">
        <v>0.18908</v>
      </c>
      <c r="H37" s="103">
        <v>9.2439999999999994E-2</v>
      </c>
      <c r="I37" s="103">
        <v>7.5630000000000003E-2</v>
      </c>
      <c r="J37" s="103">
        <v>0.13025</v>
      </c>
      <c r="K37" s="103">
        <f t="shared" si="0"/>
        <v>5.8612500000000005E-2</v>
      </c>
      <c r="L37" s="103">
        <v>0.45</v>
      </c>
      <c r="M37" s="103">
        <v>0.57999999999999996</v>
      </c>
      <c r="N37" s="2" t="s">
        <v>353</v>
      </c>
      <c r="O37" s="2"/>
    </row>
    <row r="38" spans="1:15" ht="18" customHeight="1" x14ac:dyDescent="0.25">
      <c r="A38" s="6">
        <v>34</v>
      </c>
      <c r="B38" s="107" t="s">
        <v>168</v>
      </c>
      <c r="C38" s="6" t="s">
        <v>639</v>
      </c>
      <c r="D38" s="6" t="s">
        <v>636</v>
      </c>
      <c r="E38" s="6" t="s">
        <v>635</v>
      </c>
      <c r="F38" s="108">
        <v>3.8660000000000001</v>
      </c>
      <c r="G38" s="105">
        <v>0.17394999999999999</v>
      </c>
      <c r="H38" s="105">
        <v>8.5040000000000004E-2</v>
      </c>
      <c r="I38" s="105">
        <v>6.9580000000000003E-2</v>
      </c>
      <c r="J38" s="105">
        <v>0.11983000000000001</v>
      </c>
      <c r="K38" s="103">
        <f t="shared" si="0"/>
        <v>5.3923500000000006E-2</v>
      </c>
      <c r="L38" s="105">
        <v>0.45</v>
      </c>
      <c r="M38" s="105">
        <v>0.57999999999999996</v>
      </c>
      <c r="N38" s="6" t="s">
        <v>353</v>
      </c>
      <c r="O38" s="6"/>
    </row>
    <row r="39" spans="1:15" ht="18" customHeight="1" x14ac:dyDescent="0.25">
      <c r="A39" s="2">
        <v>35</v>
      </c>
      <c r="B39" s="107" t="s">
        <v>168</v>
      </c>
      <c r="C39" s="2" t="s">
        <v>639</v>
      </c>
      <c r="D39" s="2" t="s">
        <v>637</v>
      </c>
      <c r="E39" s="2" t="s">
        <v>634</v>
      </c>
      <c r="F39" s="108">
        <v>5.1319999999999997</v>
      </c>
      <c r="G39" s="103">
        <v>0.23091999999999999</v>
      </c>
      <c r="H39" s="103">
        <v>0.11289</v>
      </c>
      <c r="I39" s="103">
        <v>9.2369999999999994E-2</v>
      </c>
      <c r="J39" s="103">
        <v>0.15908</v>
      </c>
      <c r="K39" s="103">
        <f t="shared" si="0"/>
        <v>7.1585999999999997E-2</v>
      </c>
      <c r="L39" s="103">
        <v>0.45</v>
      </c>
      <c r="M39" s="103">
        <v>0.57999999999999996</v>
      </c>
      <c r="N39" s="2" t="s">
        <v>353</v>
      </c>
      <c r="O39" s="2"/>
    </row>
    <row r="40" spans="1:15" ht="18" customHeight="1" x14ac:dyDescent="0.25">
      <c r="A40" s="6">
        <v>36</v>
      </c>
      <c r="B40" s="107" t="s">
        <v>168</v>
      </c>
      <c r="C40" s="6" t="s">
        <v>639</v>
      </c>
      <c r="D40" s="6" t="s">
        <v>637</v>
      </c>
      <c r="E40" s="6" t="s">
        <v>635</v>
      </c>
      <c r="F40" s="108">
        <v>4.7210000000000001</v>
      </c>
      <c r="G40" s="105">
        <v>0.21245</v>
      </c>
      <c r="H40" s="105">
        <v>0.10385999999999999</v>
      </c>
      <c r="I40" s="105">
        <v>8.498E-2</v>
      </c>
      <c r="J40" s="105">
        <v>0.14635000000000001</v>
      </c>
      <c r="K40" s="103">
        <f t="shared" si="0"/>
        <v>6.5857499999999999E-2</v>
      </c>
      <c r="L40" s="105">
        <v>0.45</v>
      </c>
      <c r="M40" s="105">
        <v>0.57999999999999996</v>
      </c>
      <c r="N40" s="6" t="s">
        <v>353</v>
      </c>
      <c r="O40" s="6"/>
    </row>
  </sheetData>
  <mergeCells count="3">
    <mergeCell ref="A1:O1"/>
    <mergeCell ref="A2:O2"/>
    <mergeCell ref="A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68"/>
  <sheetViews>
    <sheetView zoomScale="115" zoomScaleNormal="115" workbookViewId="0">
      <pane ySplit="4" topLeftCell="A5" activePane="bottomLeft" state="frozen"/>
      <selection pane="bottomLeft" activeCell="A16" sqref="A16"/>
    </sheetView>
  </sheetViews>
  <sheetFormatPr defaultColWidth="8.7109375" defaultRowHeight="15" x14ac:dyDescent="0.25"/>
  <cols>
    <col min="1" max="1" width="25.140625" customWidth="1"/>
    <col min="2" max="2" width="45.28515625" customWidth="1"/>
    <col min="3" max="3" width="10" customWidth="1"/>
    <col min="4" max="4" width="14" customWidth="1"/>
    <col min="5" max="7" width="22" customWidth="1"/>
    <col min="8" max="8" width="12" customWidth="1"/>
    <col min="9" max="14" width="14" customWidth="1"/>
  </cols>
  <sheetData>
    <row r="1" spans="1:14" ht="27.75" customHeight="1" x14ac:dyDescent="0.25">
      <c r="A1" s="204" t="s">
        <v>640</v>
      </c>
      <c r="B1" s="204"/>
      <c r="C1" s="204"/>
      <c r="D1" s="204"/>
      <c r="E1" s="204"/>
      <c r="F1" s="204"/>
      <c r="G1" s="204"/>
      <c r="H1" s="204"/>
      <c r="I1" s="204"/>
      <c r="J1" s="204"/>
      <c r="K1" s="204"/>
      <c r="L1" s="204"/>
      <c r="M1" s="204"/>
      <c r="N1" s="204"/>
    </row>
    <row r="2" spans="1:14" ht="18" customHeight="1" x14ac:dyDescent="0.25">
      <c r="A2" s="205" t="s">
        <v>641</v>
      </c>
      <c r="B2" s="205"/>
      <c r="C2" s="205"/>
      <c r="D2" s="205"/>
      <c r="E2" s="205"/>
      <c r="F2" s="205"/>
      <c r="G2" s="205"/>
      <c r="H2" s="205"/>
      <c r="I2" s="205"/>
      <c r="J2" s="205"/>
      <c r="K2" s="205"/>
      <c r="L2" s="205"/>
      <c r="M2" s="205"/>
      <c r="N2" s="205"/>
    </row>
    <row r="3" spans="1:14" ht="30" customHeight="1" x14ac:dyDescent="0.25">
      <c r="A3" s="205"/>
      <c r="B3" s="205"/>
      <c r="C3" s="205"/>
      <c r="D3" s="205"/>
      <c r="E3" s="205"/>
      <c r="F3" s="205"/>
      <c r="G3" s="205"/>
      <c r="H3" s="205"/>
      <c r="I3" s="205"/>
      <c r="J3" s="205"/>
      <c r="K3" s="205"/>
      <c r="L3" s="205"/>
      <c r="M3" s="205"/>
      <c r="N3" s="205"/>
    </row>
    <row r="4" spans="1:14" ht="110.25" customHeight="1" x14ac:dyDescent="0.25">
      <c r="A4" s="109" t="s">
        <v>642</v>
      </c>
      <c r="B4" s="110"/>
      <c r="C4" s="110"/>
      <c r="D4" s="110"/>
      <c r="E4" s="110"/>
      <c r="F4" s="110"/>
      <c r="G4" s="110"/>
      <c r="H4" s="110"/>
      <c r="I4" s="110"/>
      <c r="J4" s="111"/>
      <c r="K4" s="111"/>
      <c r="L4" s="111"/>
      <c r="M4" s="111"/>
      <c r="N4" s="111"/>
    </row>
    <row r="5" spans="1:14" ht="18" customHeight="1" x14ac:dyDescent="0.25">
      <c r="A5" s="112" t="s">
        <v>643</v>
      </c>
      <c r="B5" s="2"/>
      <c r="C5" s="2"/>
      <c r="D5" s="2"/>
      <c r="E5" s="2"/>
      <c r="F5" s="2"/>
      <c r="G5" s="2"/>
      <c r="H5" s="2"/>
      <c r="I5" s="113"/>
    </row>
    <row r="6" spans="1:14" ht="18" customHeight="1" x14ac:dyDescent="0.25">
      <c r="A6" s="6"/>
      <c r="B6" s="6"/>
      <c r="C6" s="6"/>
      <c r="D6" s="6"/>
      <c r="E6" s="6"/>
      <c r="F6" s="6"/>
      <c r="G6" s="6"/>
      <c r="H6" s="6"/>
      <c r="I6" s="113"/>
    </row>
    <row r="7" spans="1:14" ht="18" customHeight="1" x14ac:dyDescent="0.25">
      <c r="A7" s="114" t="s">
        <v>3</v>
      </c>
      <c r="B7" s="114" t="s">
        <v>644</v>
      </c>
      <c r="C7" s="114" t="s">
        <v>625</v>
      </c>
      <c r="D7" s="114" t="s">
        <v>645</v>
      </c>
      <c r="E7" s="114" t="s">
        <v>646</v>
      </c>
      <c r="F7" s="114" t="s">
        <v>647</v>
      </c>
      <c r="G7" s="114" t="s">
        <v>648</v>
      </c>
      <c r="H7" s="114" t="s">
        <v>649</v>
      </c>
      <c r="I7" s="114" t="s">
        <v>650</v>
      </c>
      <c r="J7" s="114" t="s">
        <v>651</v>
      </c>
      <c r="K7" s="114" t="s">
        <v>652</v>
      </c>
      <c r="L7" s="114" t="s">
        <v>653</v>
      </c>
      <c r="M7" s="114" t="s">
        <v>654</v>
      </c>
      <c r="N7" s="114" t="s">
        <v>655</v>
      </c>
    </row>
    <row r="8" spans="1:14" ht="18" customHeight="1" x14ac:dyDescent="0.25">
      <c r="A8" s="115" t="s">
        <v>656</v>
      </c>
      <c r="B8" s="115" t="s">
        <v>657</v>
      </c>
      <c r="C8" s="115" t="s">
        <v>634</v>
      </c>
      <c r="D8" s="115" t="s">
        <v>658</v>
      </c>
      <c r="E8" s="115" t="s">
        <v>659</v>
      </c>
      <c r="F8" s="115" t="s">
        <v>660</v>
      </c>
      <c r="G8" s="115" t="s">
        <v>661</v>
      </c>
      <c r="H8" s="115" t="s">
        <v>66</v>
      </c>
      <c r="I8" s="116" t="s">
        <v>66</v>
      </c>
      <c r="J8" s="117" t="s">
        <v>66</v>
      </c>
      <c r="K8" s="117" t="s">
        <v>66</v>
      </c>
      <c r="L8" s="117" t="s">
        <v>66</v>
      </c>
      <c r="M8" s="117" t="s">
        <v>66</v>
      </c>
      <c r="N8" s="117" t="s">
        <v>66</v>
      </c>
    </row>
    <row r="9" spans="1:14" ht="18" customHeight="1" x14ac:dyDescent="0.25">
      <c r="A9" s="118" t="s">
        <v>662</v>
      </c>
      <c r="B9" s="118" t="s">
        <v>657</v>
      </c>
      <c r="C9" s="118" t="s">
        <v>634</v>
      </c>
      <c r="D9" s="118" t="s">
        <v>658</v>
      </c>
      <c r="E9" s="118" t="s">
        <v>663</v>
      </c>
      <c r="F9" s="118" t="s">
        <v>660</v>
      </c>
      <c r="G9" s="118" t="s">
        <v>661</v>
      </c>
      <c r="H9" s="118" t="s">
        <v>66</v>
      </c>
      <c r="I9" s="116" t="s">
        <v>66</v>
      </c>
      <c r="J9" s="117" t="s">
        <v>66</v>
      </c>
      <c r="K9" s="117" t="s">
        <v>66</v>
      </c>
      <c r="L9" s="117" t="s">
        <v>66</v>
      </c>
      <c r="M9" s="117" t="s">
        <v>66</v>
      </c>
      <c r="N9" s="117" t="s">
        <v>66</v>
      </c>
    </row>
    <row r="10" spans="1:14" ht="18" customHeight="1" x14ac:dyDescent="0.25">
      <c r="A10" s="115" t="s">
        <v>664</v>
      </c>
      <c r="B10" s="115" t="s">
        <v>657</v>
      </c>
      <c r="C10" s="115" t="s">
        <v>635</v>
      </c>
      <c r="D10" s="115" t="s">
        <v>658</v>
      </c>
      <c r="E10" s="115" t="s">
        <v>659</v>
      </c>
      <c r="F10" s="115" t="s">
        <v>660</v>
      </c>
      <c r="G10" s="115" t="s">
        <v>665</v>
      </c>
      <c r="H10" s="115" t="s">
        <v>66</v>
      </c>
      <c r="I10" s="116" t="s">
        <v>66</v>
      </c>
      <c r="J10" s="117" t="s">
        <v>66</v>
      </c>
      <c r="K10" s="117" t="s">
        <v>66</v>
      </c>
      <c r="L10" s="117" t="s">
        <v>66</v>
      </c>
      <c r="M10" s="117" t="s">
        <v>66</v>
      </c>
      <c r="N10" s="117" t="s">
        <v>66</v>
      </c>
    </row>
    <row r="11" spans="1:14" ht="18" customHeight="1" x14ac:dyDescent="0.25">
      <c r="A11" s="118" t="s">
        <v>666</v>
      </c>
      <c r="B11" s="118" t="s">
        <v>657</v>
      </c>
      <c r="C11" s="118" t="s">
        <v>635</v>
      </c>
      <c r="D11" s="118" t="s">
        <v>658</v>
      </c>
      <c r="E11" s="118" t="s">
        <v>667</v>
      </c>
      <c r="F11" s="118" t="s">
        <v>660</v>
      </c>
      <c r="G11" s="118" t="s">
        <v>665</v>
      </c>
      <c r="H11" s="118" t="s">
        <v>66</v>
      </c>
      <c r="I11" s="116" t="s">
        <v>66</v>
      </c>
      <c r="J11" s="117" t="s">
        <v>66</v>
      </c>
      <c r="K11" s="117" t="s">
        <v>66</v>
      </c>
      <c r="L11" s="117" t="s">
        <v>66</v>
      </c>
      <c r="M11" s="117" t="s">
        <v>66</v>
      </c>
      <c r="N11" s="117" t="s">
        <v>66</v>
      </c>
    </row>
    <row r="12" spans="1:14" ht="18" customHeight="1" x14ac:dyDescent="0.25">
      <c r="A12" s="115" t="s">
        <v>668</v>
      </c>
      <c r="B12" s="115" t="s">
        <v>669</v>
      </c>
      <c r="C12" s="115" t="s">
        <v>634</v>
      </c>
      <c r="D12" s="115" t="s">
        <v>670</v>
      </c>
      <c r="E12" s="115" t="s">
        <v>671</v>
      </c>
      <c r="F12" s="115" t="s">
        <v>672</v>
      </c>
      <c r="G12" s="115" t="s">
        <v>661</v>
      </c>
      <c r="H12" s="115" t="s">
        <v>66</v>
      </c>
      <c r="I12" s="116" t="s">
        <v>66</v>
      </c>
      <c r="J12" s="117" t="s">
        <v>66</v>
      </c>
      <c r="K12" s="117" t="s">
        <v>66</v>
      </c>
      <c r="L12" s="117" t="s">
        <v>66</v>
      </c>
      <c r="M12" s="117" t="s">
        <v>66</v>
      </c>
      <c r="N12" s="117" t="s">
        <v>66</v>
      </c>
    </row>
    <row r="13" spans="1:14" ht="25.5" customHeight="1" x14ac:dyDescent="0.25">
      <c r="A13" s="117" t="s">
        <v>673</v>
      </c>
      <c r="B13" s="117" t="s">
        <v>669</v>
      </c>
      <c r="C13" s="117" t="s">
        <v>635</v>
      </c>
      <c r="D13" s="117" t="s">
        <v>670</v>
      </c>
      <c r="E13" s="117" t="s">
        <v>671</v>
      </c>
      <c r="F13" s="117" t="s">
        <v>672</v>
      </c>
      <c r="G13" s="117" t="s">
        <v>665</v>
      </c>
      <c r="H13" s="117" t="s">
        <v>66</v>
      </c>
      <c r="I13" s="117" t="s">
        <v>66</v>
      </c>
      <c r="J13" s="117" t="s">
        <v>66</v>
      </c>
      <c r="K13" s="117" t="s">
        <v>66</v>
      </c>
      <c r="L13" s="117" t="s">
        <v>66</v>
      </c>
      <c r="M13" s="117" t="s">
        <v>66</v>
      </c>
      <c r="N13" s="117" t="s">
        <v>66</v>
      </c>
    </row>
    <row r="14" spans="1:14" ht="25.5" customHeight="1" x14ac:dyDescent="0.25">
      <c r="A14" s="117" t="s">
        <v>674</v>
      </c>
      <c r="B14" s="117" t="s">
        <v>675</v>
      </c>
      <c r="C14" s="117" t="s">
        <v>676</v>
      </c>
      <c r="D14" s="117" t="s">
        <v>670</v>
      </c>
      <c r="E14" s="117" t="s">
        <v>677</v>
      </c>
      <c r="F14" s="117" t="s">
        <v>678</v>
      </c>
      <c r="G14" s="117" t="s">
        <v>679</v>
      </c>
      <c r="H14" s="117" t="s">
        <v>66</v>
      </c>
      <c r="I14" s="117" t="s">
        <v>66</v>
      </c>
      <c r="J14" s="117" t="s">
        <v>66</v>
      </c>
      <c r="K14" s="117" t="s">
        <v>66</v>
      </c>
      <c r="L14" s="117" t="s">
        <v>66</v>
      </c>
      <c r="M14" s="117" t="s">
        <v>66</v>
      </c>
      <c r="N14" s="117" t="s">
        <v>66</v>
      </c>
    </row>
    <row r="15" spans="1:14" ht="21.75" customHeight="1" x14ac:dyDescent="0.25">
      <c r="A15" s="117" t="s">
        <v>680</v>
      </c>
      <c r="B15" s="117" t="s">
        <v>681</v>
      </c>
      <c r="C15" s="117" t="s">
        <v>676</v>
      </c>
      <c r="D15" s="117" t="s">
        <v>670</v>
      </c>
      <c r="E15" s="117" t="s">
        <v>677</v>
      </c>
      <c r="F15" s="117" t="s">
        <v>682</v>
      </c>
      <c r="G15" s="117" t="s">
        <v>679</v>
      </c>
      <c r="H15" s="117" t="s">
        <v>66</v>
      </c>
      <c r="I15" s="117" t="s">
        <v>66</v>
      </c>
      <c r="J15" s="117" t="s">
        <v>66</v>
      </c>
      <c r="K15" s="117" t="s">
        <v>66</v>
      </c>
      <c r="L15" s="117" t="s">
        <v>66</v>
      </c>
      <c r="M15" s="117" t="s">
        <v>66</v>
      </c>
      <c r="N15" s="117" t="s">
        <v>66</v>
      </c>
    </row>
    <row r="16" spans="1:14" ht="25.5" customHeight="1" x14ac:dyDescent="0.25">
      <c r="A16" s="1" t="s">
        <v>683</v>
      </c>
      <c r="B16" s="1" t="s">
        <v>684</v>
      </c>
      <c r="C16" s="1" t="s">
        <v>634</v>
      </c>
      <c r="D16" s="1" t="s">
        <v>658</v>
      </c>
      <c r="E16" s="1" t="s">
        <v>659</v>
      </c>
      <c r="F16" s="1" t="s">
        <v>660</v>
      </c>
      <c r="G16" s="1" t="s">
        <v>661</v>
      </c>
      <c r="H16" s="1" t="s">
        <v>66</v>
      </c>
      <c r="I16" s="1" t="s">
        <v>66</v>
      </c>
      <c r="J16" s="1" t="s">
        <v>66</v>
      </c>
      <c r="K16" t="s">
        <v>66</v>
      </c>
      <c r="L16" t="s">
        <v>66</v>
      </c>
      <c r="M16" t="s">
        <v>66</v>
      </c>
      <c r="N16" t="s">
        <v>66</v>
      </c>
    </row>
    <row r="17" spans="1:14" ht="18" customHeight="1" x14ac:dyDescent="0.25">
      <c r="A17" s="119" t="s">
        <v>685</v>
      </c>
      <c r="B17" s="120" t="s">
        <v>684</v>
      </c>
      <c r="C17" s="120" t="s">
        <v>635</v>
      </c>
      <c r="D17" s="121" t="s">
        <v>658</v>
      </c>
      <c r="E17" s="121" t="s">
        <v>667</v>
      </c>
      <c r="F17" s="121" t="s">
        <v>660</v>
      </c>
      <c r="G17" s="121" t="s">
        <v>665</v>
      </c>
      <c r="H17" s="121" t="s">
        <v>66</v>
      </c>
      <c r="I17" s="121" t="s">
        <v>66</v>
      </c>
      <c r="J17" s="121" t="s">
        <v>66</v>
      </c>
      <c r="K17" s="122" t="s">
        <v>66</v>
      </c>
      <c r="L17" s="122" t="s">
        <v>66</v>
      </c>
      <c r="M17" s="122" t="s">
        <v>66</v>
      </c>
      <c r="N17" s="122" t="s">
        <v>66</v>
      </c>
    </row>
    <row r="18" spans="1:14" ht="57.75" customHeight="1" x14ac:dyDescent="0.25">
      <c r="A18" s="115" t="s">
        <v>686</v>
      </c>
      <c r="B18" s="115" t="s">
        <v>687</v>
      </c>
      <c r="C18" s="123"/>
      <c r="D18" s="124"/>
      <c r="E18" s="124"/>
      <c r="F18" s="124"/>
      <c r="G18" s="124"/>
      <c r="H18" s="124"/>
      <c r="I18" s="124"/>
      <c r="J18" s="124"/>
    </row>
    <row r="19" spans="1:14" ht="49.5" customHeight="1" x14ac:dyDescent="0.25">
      <c r="A19" s="118" t="s">
        <v>688</v>
      </c>
      <c r="B19" s="118" t="s">
        <v>689</v>
      </c>
      <c r="C19" s="125"/>
      <c r="D19" s="126"/>
      <c r="E19" s="126"/>
      <c r="F19" s="126"/>
      <c r="G19" s="126"/>
      <c r="H19" s="126"/>
      <c r="I19" s="126"/>
      <c r="J19" s="126"/>
    </row>
    <row r="20" spans="1:14" ht="50.25" customHeight="1" x14ac:dyDescent="0.25">
      <c r="A20" s="115" t="s">
        <v>686</v>
      </c>
      <c r="B20" s="115" t="s">
        <v>687</v>
      </c>
      <c r="C20" s="123"/>
      <c r="D20" s="124"/>
      <c r="E20" s="124"/>
      <c r="F20" s="124"/>
      <c r="G20" s="124"/>
      <c r="H20" s="124"/>
      <c r="I20" s="124"/>
      <c r="J20" s="124"/>
    </row>
    <row r="21" spans="1:14" ht="62.25" customHeight="1" x14ac:dyDescent="0.25">
      <c r="A21" s="118" t="s">
        <v>690</v>
      </c>
      <c r="B21" s="118" t="s">
        <v>689</v>
      </c>
      <c r="C21" s="125"/>
      <c r="D21" s="126"/>
      <c r="E21" s="126"/>
      <c r="F21" s="126"/>
      <c r="G21" s="126"/>
      <c r="H21" s="126"/>
      <c r="I21" s="126"/>
      <c r="J21" s="126"/>
    </row>
    <row r="22" spans="1:14" ht="60.75" customHeight="1" x14ac:dyDescent="0.25">
      <c r="A22" s="115" t="s">
        <v>691</v>
      </c>
      <c r="B22" s="115" t="s">
        <v>692</v>
      </c>
      <c r="C22" s="123"/>
      <c r="D22" s="124"/>
      <c r="E22" s="124"/>
      <c r="F22" s="124"/>
      <c r="G22" s="124"/>
      <c r="H22" s="124"/>
      <c r="I22" s="124"/>
      <c r="J22" s="124"/>
    </row>
    <row r="23" spans="1:14" ht="63.75" customHeight="1" x14ac:dyDescent="0.25">
      <c r="A23" s="117" t="s">
        <v>693</v>
      </c>
      <c r="B23" s="117" t="s">
        <v>694</v>
      </c>
    </row>
    <row r="24" spans="1:14" x14ac:dyDescent="0.25">
      <c r="A24" t="s">
        <v>695</v>
      </c>
      <c r="B24" t="s">
        <v>696</v>
      </c>
    </row>
    <row r="25" spans="1:14" ht="21.75" customHeight="1" x14ac:dyDescent="0.25">
      <c r="A25" s="127" t="s">
        <v>697</v>
      </c>
      <c r="B25" t="s">
        <v>698</v>
      </c>
    </row>
    <row r="26" spans="1:14" ht="141.75" customHeight="1" x14ac:dyDescent="0.25">
      <c r="A26" s="128" t="s">
        <v>699</v>
      </c>
      <c r="B26" s="129"/>
      <c r="C26" s="129"/>
      <c r="D26" s="129"/>
      <c r="E26" s="129"/>
      <c r="F26" s="130"/>
      <c r="G26" s="130"/>
      <c r="H26" s="130"/>
      <c r="I26" s="130"/>
      <c r="J26" s="130"/>
      <c r="K26" s="130"/>
      <c r="L26" s="130"/>
      <c r="M26" s="130"/>
      <c r="N26" s="130"/>
    </row>
    <row r="27" spans="1:14" ht="141" customHeight="1" x14ac:dyDescent="0.25">
      <c r="A27" s="131" t="s">
        <v>700</v>
      </c>
      <c r="B27" s="2"/>
      <c r="C27" s="2"/>
      <c r="D27" s="132"/>
      <c r="E27" s="2"/>
    </row>
    <row r="28" spans="1:14" ht="19.5" customHeight="1" x14ac:dyDescent="0.25">
      <c r="A28" s="6"/>
      <c r="B28" s="6"/>
      <c r="C28" s="6"/>
      <c r="D28" s="132"/>
      <c r="E28" s="6"/>
    </row>
    <row r="29" spans="1:14" ht="19.5" customHeight="1" x14ac:dyDescent="0.25">
      <c r="A29" s="133" t="s">
        <v>3</v>
      </c>
      <c r="B29" s="133" t="s">
        <v>644</v>
      </c>
      <c r="C29" s="133" t="s">
        <v>625</v>
      </c>
      <c r="D29" s="133" t="s">
        <v>645</v>
      </c>
      <c r="E29" s="133" t="s">
        <v>701</v>
      </c>
      <c r="F29" s="133" t="s">
        <v>646</v>
      </c>
      <c r="G29" s="133" t="s">
        <v>647</v>
      </c>
      <c r="H29" s="133" t="s">
        <v>648</v>
      </c>
      <c r="I29" s="133" t="s">
        <v>16</v>
      </c>
    </row>
    <row r="30" spans="1:14" ht="19.5" customHeight="1" x14ac:dyDescent="0.25">
      <c r="A30" s="115" t="s">
        <v>702</v>
      </c>
      <c r="B30" s="115" t="s">
        <v>657</v>
      </c>
      <c r="C30" s="115" t="s">
        <v>634</v>
      </c>
      <c r="D30" s="116" t="s">
        <v>658</v>
      </c>
      <c r="E30" s="115" t="s">
        <v>703</v>
      </c>
      <c r="F30" s="117" t="s">
        <v>659</v>
      </c>
      <c r="G30" s="117" t="s">
        <v>660</v>
      </c>
      <c r="H30" s="117" t="s">
        <v>661</v>
      </c>
      <c r="I30" s="117" t="s">
        <v>704</v>
      </c>
    </row>
    <row r="31" spans="1:14" ht="19.5" customHeight="1" x14ac:dyDescent="0.25">
      <c r="A31" s="118" t="s">
        <v>705</v>
      </c>
      <c r="B31" s="118" t="s">
        <v>657</v>
      </c>
      <c r="C31" s="118" t="s">
        <v>634</v>
      </c>
      <c r="D31" s="116" t="s">
        <v>658</v>
      </c>
      <c r="E31" s="118" t="s">
        <v>703</v>
      </c>
      <c r="F31" s="117" t="s">
        <v>663</v>
      </c>
      <c r="G31" s="117" t="s">
        <v>660</v>
      </c>
      <c r="H31" s="117" t="s">
        <v>661</v>
      </c>
      <c r="I31" s="117" t="s">
        <v>704</v>
      </c>
    </row>
    <row r="32" spans="1:14" ht="19.5" customHeight="1" x14ac:dyDescent="0.25">
      <c r="A32" s="115" t="s">
        <v>706</v>
      </c>
      <c r="B32" s="115" t="s">
        <v>657</v>
      </c>
      <c r="C32" s="115" t="s">
        <v>635</v>
      </c>
      <c r="D32" s="134" t="s">
        <v>658</v>
      </c>
      <c r="E32" s="115" t="s">
        <v>707</v>
      </c>
      <c r="F32" s="117" t="s">
        <v>659</v>
      </c>
      <c r="G32" s="117" t="s">
        <v>660</v>
      </c>
      <c r="H32" s="117" t="s">
        <v>665</v>
      </c>
      <c r="I32" s="117" t="s">
        <v>704</v>
      </c>
    </row>
    <row r="33" spans="1:14" ht="19.5" customHeight="1" x14ac:dyDescent="0.25">
      <c r="A33" s="118" t="s">
        <v>708</v>
      </c>
      <c r="B33" s="118" t="s">
        <v>657</v>
      </c>
      <c r="C33" s="118" t="s">
        <v>635</v>
      </c>
      <c r="D33" s="134" t="s">
        <v>658</v>
      </c>
      <c r="E33" s="118" t="s">
        <v>707</v>
      </c>
      <c r="F33" s="117" t="s">
        <v>667</v>
      </c>
      <c r="G33" s="117" t="s">
        <v>660</v>
      </c>
      <c r="H33" s="117" t="s">
        <v>665</v>
      </c>
      <c r="I33" s="117" t="s">
        <v>704</v>
      </c>
    </row>
    <row r="34" spans="1:14" ht="25.5" customHeight="1" x14ac:dyDescent="0.25">
      <c r="A34" s="117" t="s">
        <v>709</v>
      </c>
      <c r="B34" s="117" t="s">
        <v>669</v>
      </c>
      <c r="C34" s="117" t="s">
        <v>634</v>
      </c>
      <c r="D34" s="117" t="s">
        <v>670</v>
      </c>
      <c r="E34" s="117" t="s">
        <v>703</v>
      </c>
      <c r="F34" s="117" t="s">
        <v>671</v>
      </c>
      <c r="G34" s="117" t="s">
        <v>672</v>
      </c>
      <c r="H34" s="117" t="s">
        <v>661</v>
      </c>
      <c r="I34" s="117" t="s">
        <v>704</v>
      </c>
    </row>
    <row r="35" spans="1:14" ht="25.5" customHeight="1" x14ac:dyDescent="0.25">
      <c r="A35" s="117" t="s">
        <v>710</v>
      </c>
      <c r="B35" s="117" t="s">
        <v>669</v>
      </c>
      <c r="C35" s="117" t="s">
        <v>635</v>
      </c>
      <c r="D35" s="117" t="s">
        <v>670</v>
      </c>
      <c r="E35" s="117" t="s">
        <v>707</v>
      </c>
      <c r="F35" s="117" t="s">
        <v>671</v>
      </c>
      <c r="G35" s="117" t="s">
        <v>672</v>
      </c>
      <c r="H35" s="117" t="s">
        <v>665</v>
      </c>
      <c r="I35" s="117" t="s">
        <v>704</v>
      </c>
    </row>
    <row r="36" spans="1:14" ht="21.75" customHeight="1" x14ac:dyDescent="0.25">
      <c r="A36" s="127" t="s">
        <v>711</v>
      </c>
      <c r="B36" t="s">
        <v>684</v>
      </c>
      <c r="C36" t="s">
        <v>634</v>
      </c>
      <c r="D36" t="s">
        <v>658</v>
      </c>
      <c r="E36" t="s">
        <v>703</v>
      </c>
      <c r="F36" t="s">
        <v>659</v>
      </c>
      <c r="G36" t="s">
        <v>712</v>
      </c>
      <c r="H36" t="s">
        <v>661</v>
      </c>
      <c r="I36" t="s">
        <v>704</v>
      </c>
    </row>
    <row r="37" spans="1:14" ht="18" customHeight="1" x14ac:dyDescent="0.25">
      <c r="A37" s="26" t="s">
        <v>713</v>
      </c>
      <c r="B37" s="135" t="s">
        <v>714</v>
      </c>
      <c r="C37" t="s">
        <v>676</v>
      </c>
      <c r="D37" t="s">
        <v>670</v>
      </c>
      <c r="E37" t="s">
        <v>715</v>
      </c>
      <c r="F37" t="s">
        <v>677</v>
      </c>
      <c r="G37" t="s">
        <v>712</v>
      </c>
      <c r="H37" t="s">
        <v>679</v>
      </c>
      <c r="I37" t="s">
        <v>704</v>
      </c>
    </row>
    <row r="38" spans="1:14" ht="18" customHeight="1" x14ac:dyDescent="0.25">
      <c r="A38" s="136" t="s">
        <v>716</v>
      </c>
      <c r="B38" s="137"/>
      <c r="C38" s="122"/>
      <c r="D38" s="122"/>
      <c r="E38" s="122"/>
      <c r="F38" s="122"/>
      <c r="G38" s="122"/>
      <c r="H38" s="122"/>
      <c r="I38" s="122"/>
      <c r="J38" s="122"/>
      <c r="K38" s="122"/>
      <c r="L38" s="122"/>
      <c r="M38" s="122"/>
      <c r="N38" s="122"/>
    </row>
    <row r="39" spans="1:14" ht="18" customHeight="1" x14ac:dyDescent="0.25">
      <c r="A39" s="133" t="s">
        <v>644</v>
      </c>
      <c r="B39" s="133" t="s">
        <v>625</v>
      </c>
      <c r="C39" s="133" t="s">
        <v>717</v>
      </c>
      <c r="D39" s="133" t="s">
        <v>718</v>
      </c>
      <c r="E39" s="133" t="s">
        <v>719</v>
      </c>
      <c r="F39" s="133" t="s">
        <v>720</v>
      </c>
      <c r="G39" s="133" t="s">
        <v>721</v>
      </c>
      <c r="H39" s="133" t="s">
        <v>722</v>
      </c>
      <c r="I39" s="133" t="s">
        <v>723</v>
      </c>
      <c r="J39" s="133" t="s">
        <v>724</v>
      </c>
    </row>
    <row r="40" spans="1:14" ht="18" customHeight="1" x14ac:dyDescent="0.25">
      <c r="A40" s="115" t="s">
        <v>725</v>
      </c>
      <c r="B40" s="115" t="s">
        <v>66</v>
      </c>
      <c r="C40" s="117" t="s">
        <v>66</v>
      </c>
      <c r="D40" s="117" t="s">
        <v>66</v>
      </c>
      <c r="E40" s="117" t="s">
        <v>66</v>
      </c>
      <c r="F40" s="117" t="s">
        <v>66</v>
      </c>
      <c r="G40" s="117" t="s">
        <v>66</v>
      </c>
      <c r="H40" s="117" t="s">
        <v>66</v>
      </c>
      <c r="I40" s="117" t="s">
        <v>66</v>
      </c>
      <c r="J40" s="117" t="s">
        <v>66</v>
      </c>
    </row>
    <row r="41" spans="1:14" ht="18" customHeight="1" x14ac:dyDescent="0.25">
      <c r="A41" s="118" t="s">
        <v>726</v>
      </c>
      <c r="B41" s="118" t="s">
        <v>66</v>
      </c>
      <c r="C41" s="117" t="s">
        <v>66</v>
      </c>
      <c r="D41" s="117" t="s">
        <v>66</v>
      </c>
      <c r="E41" s="117" t="s">
        <v>66</v>
      </c>
      <c r="F41" s="117" t="s">
        <v>66</v>
      </c>
      <c r="G41" s="117" t="s">
        <v>66</v>
      </c>
      <c r="H41" s="117" t="s">
        <v>66</v>
      </c>
      <c r="I41" s="117" t="s">
        <v>66</v>
      </c>
      <c r="J41" s="117" t="s">
        <v>66</v>
      </c>
    </row>
    <row r="42" spans="1:14" ht="18" customHeight="1" x14ac:dyDescent="0.25">
      <c r="A42" s="115" t="s">
        <v>709</v>
      </c>
      <c r="B42" s="115" t="s">
        <v>66</v>
      </c>
      <c r="C42" s="117" t="s">
        <v>66</v>
      </c>
      <c r="D42" s="117" t="s">
        <v>66</v>
      </c>
      <c r="E42" s="117" t="s">
        <v>66</v>
      </c>
      <c r="F42" s="117" t="s">
        <v>66</v>
      </c>
      <c r="G42" s="117" t="s">
        <v>66</v>
      </c>
      <c r="H42" s="117" t="s">
        <v>66</v>
      </c>
      <c r="I42" s="117" t="s">
        <v>66</v>
      </c>
      <c r="J42" s="117" t="s">
        <v>66</v>
      </c>
    </row>
    <row r="43" spans="1:14" ht="18" customHeight="1" x14ac:dyDescent="0.25">
      <c r="A43" s="118" t="s">
        <v>710</v>
      </c>
      <c r="B43" s="118" t="s">
        <v>66</v>
      </c>
      <c r="C43" s="117" t="s">
        <v>66</v>
      </c>
      <c r="D43" s="117" t="s">
        <v>66</v>
      </c>
      <c r="E43" s="117" t="s">
        <v>66</v>
      </c>
      <c r="F43" s="117" t="s">
        <v>66</v>
      </c>
      <c r="G43" s="117" t="s">
        <v>66</v>
      </c>
      <c r="H43" s="117" t="s">
        <v>66</v>
      </c>
      <c r="I43" s="117" t="s">
        <v>66</v>
      </c>
      <c r="J43" s="117" t="s">
        <v>66</v>
      </c>
    </row>
    <row r="44" spans="1:14" x14ac:dyDescent="0.25">
      <c r="A44" t="s">
        <v>711</v>
      </c>
      <c r="B44" t="s">
        <v>634</v>
      </c>
      <c r="C44" t="s">
        <v>727</v>
      </c>
      <c r="D44" t="s">
        <v>66</v>
      </c>
      <c r="E44" t="s">
        <v>66</v>
      </c>
      <c r="F44" t="s">
        <v>66</v>
      </c>
      <c r="G44" t="s">
        <v>66</v>
      </c>
      <c r="H44" t="s">
        <v>66</v>
      </c>
      <c r="I44" t="s">
        <v>66</v>
      </c>
      <c r="J44" t="s">
        <v>66</v>
      </c>
    </row>
    <row r="45" spans="1:14" x14ac:dyDescent="0.25">
      <c r="A45" t="s">
        <v>713</v>
      </c>
      <c r="B45" t="s">
        <v>728</v>
      </c>
      <c r="C45" t="s">
        <v>729</v>
      </c>
      <c r="D45" t="s">
        <v>66</v>
      </c>
      <c r="E45" t="s">
        <v>66</v>
      </c>
      <c r="F45" t="s">
        <v>66</v>
      </c>
      <c r="G45" t="s">
        <v>66</v>
      </c>
      <c r="H45" t="s">
        <v>66</v>
      </c>
      <c r="I45" t="s">
        <v>66</v>
      </c>
      <c r="J45" t="s">
        <v>66</v>
      </c>
    </row>
    <row r="46" spans="1:14" ht="15.75" customHeight="1" x14ac:dyDescent="0.25">
      <c r="A46" s="138" t="s">
        <v>730</v>
      </c>
    </row>
    <row r="47" spans="1:14" ht="409.5" customHeight="1" x14ac:dyDescent="0.25">
      <c r="A47" s="56" t="s">
        <v>731</v>
      </c>
    </row>
    <row r="49" spans="1:14" x14ac:dyDescent="0.25">
      <c r="A49" s="139" t="s">
        <v>732</v>
      </c>
      <c r="B49" s="122"/>
      <c r="C49" s="122"/>
      <c r="D49" s="122"/>
      <c r="E49" s="122"/>
      <c r="F49" s="122"/>
      <c r="G49" s="122"/>
      <c r="H49" s="122"/>
      <c r="I49" s="122"/>
      <c r="J49" s="122"/>
      <c r="K49" s="122"/>
      <c r="L49" s="122"/>
      <c r="M49" s="122"/>
      <c r="N49" s="122"/>
    </row>
    <row r="50" spans="1:14" ht="30" customHeight="1" x14ac:dyDescent="0.25">
      <c r="A50" s="114" t="s">
        <v>4</v>
      </c>
      <c r="B50" s="114" t="s">
        <v>733</v>
      </c>
      <c r="C50" s="114" t="s">
        <v>734</v>
      </c>
      <c r="D50" s="114" t="s">
        <v>735</v>
      </c>
      <c r="E50" s="114" t="s">
        <v>736</v>
      </c>
    </row>
    <row r="51" spans="1:14" ht="63.75" customHeight="1" x14ac:dyDescent="0.25">
      <c r="A51" s="117" t="s">
        <v>737</v>
      </c>
      <c r="B51" s="117" t="s">
        <v>66</v>
      </c>
      <c r="C51" s="117" t="s">
        <v>66</v>
      </c>
      <c r="D51" s="117" t="s">
        <v>738</v>
      </c>
      <c r="E51" s="117" t="s">
        <v>739</v>
      </c>
    </row>
    <row r="52" spans="1:14" ht="76.5" customHeight="1" x14ac:dyDescent="0.25">
      <c r="A52" s="117" t="s">
        <v>740</v>
      </c>
      <c r="B52" s="117" t="s">
        <v>66</v>
      </c>
      <c r="C52" s="117" t="s">
        <v>66</v>
      </c>
      <c r="D52" s="117" t="s">
        <v>738</v>
      </c>
      <c r="E52" s="117" t="s">
        <v>741</v>
      </c>
    </row>
    <row r="53" spans="1:14" ht="76.5" customHeight="1" x14ac:dyDescent="0.25">
      <c r="A53" s="117" t="s">
        <v>742</v>
      </c>
      <c r="B53" s="117" t="s">
        <v>66</v>
      </c>
      <c r="C53" s="117" t="s">
        <v>66</v>
      </c>
      <c r="D53" s="117" t="s">
        <v>738</v>
      </c>
      <c r="E53" s="117" t="s">
        <v>743</v>
      </c>
    </row>
    <row r="54" spans="1:14" ht="51" customHeight="1" x14ac:dyDescent="0.25">
      <c r="A54" s="117" t="s">
        <v>744</v>
      </c>
      <c r="B54" s="117" t="s">
        <v>66</v>
      </c>
      <c r="C54" s="117" t="s">
        <v>66</v>
      </c>
      <c r="D54" s="117" t="s">
        <v>738</v>
      </c>
      <c r="E54" s="117" t="s">
        <v>745</v>
      </c>
    </row>
    <row r="55" spans="1:14" ht="51" customHeight="1" x14ac:dyDescent="0.25">
      <c r="A55" s="117" t="s">
        <v>746</v>
      </c>
      <c r="B55" s="117" t="s">
        <v>66</v>
      </c>
      <c r="C55" s="117" t="s">
        <v>66</v>
      </c>
      <c r="D55" s="117" t="s">
        <v>747</v>
      </c>
      <c r="E55" s="117" t="s">
        <v>748</v>
      </c>
    </row>
    <row r="56" spans="1:14" ht="63.75" customHeight="1" x14ac:dyDescent="0.25">
      <c r="A56" s="117" t="s">
        <v>749</v>
      </c>
      <c r="B56" s="117" t="s">
        <v>66</v>
      </c>
      <c r="C56" s="117" t="s">
        <v>66</v>
      </c>
      <c r="D56" s="117" t="s">
        <v>747</v>
      </c>
      <c r="E56" s="117" t="s">
        <v>750</v>
      </c>
    </row>
    <row r="57" spans="1:14" ht="38.25" customHeight="1" x14ac:dyDescent="0.25">
      <c r="A57" s="117" t="s">
        <v>751</v>
      </c>
      <c r="B57" s="117" t="s">
        <v>66</v>
      </c>
      <c r="C57" s="117" t="s">
        <v>66</v>
      </c>
      <c r="D57" s="117" t="s">
        <v>752</v>
      </c>
      <c r="E57" s="117" t="s">
        <v>753</v>
      </c>
    </row>
    <row r="60" spans="1:14" x14ac:dyDescent="0.25">
      <c r="A60" s="139" t="s">
        <v>754</v>
      </c>
      <c r="B60" s="122"/>
      <c r="C60" s="122"/>
      <c r="D60" s="122"/>
      <c r="E60" s="122"/>
      <c r="F60" s="122"/>
      <c r="G60" s="122"/>
      <c r="H60" s="122"/>
      <c r="I60" s="122"/>
      <c r="J60" s="122"/>
      <c r="K60" s="122"/>
      <c r="L60" s="122"/>
      <c r="M60" s="122"/>
      <c r="N60" s="122"/>
    </row>
    <row r="61" spans="1:14" ht="25.5" customHeight="1" x14ac:dyDescent="0.25">
      <c r="A61" s="117" t="s">
        <v>755</v>
      </c>
      <c r="B61" s="117" t="s">
        <v>756</v>
      </c>
    </row>
    <row r="62" spans="1:14" ht="25.5" customHeight="1" x14ac:dyDescent="0.25">
      <c r="A62" s="117" t="s">
        <v>757</v>
      </c>
      <c r="B62" s="117" t="s">
        <v>758</v>
      </c>
    </row>
    <row r="63" spans="1:14" ht="25.5" customHeight="1" x14ac:dyDescent="0.25">
      <c r="A63" s="117" t="s">
        <v>759</v>
      </c>
      <c r="B63" s="117" t="s">
        <v>760</v>
      </c>
    </row>
    <row r="64" spans="1:14" ht="25.5" customHeight="1" x14ac:dyDescent="0.25">
      <c r="A64" s="117" t="s">
        <v>761</v>
      </c>
      <c r="B64" s="117" t="s">
        <v>762</v>
      </c>
    </row>
    <row r="65" spans="1:2" ht="25.5" customHeight="1" x14ac:dyDescent="0.25">
      <c r="A65" s="117" t="s">
        <v>763</v>
      </c>
      <c r="B65" s="117" t="s">
        <v>764</v>
      </c>
    </row>
    <row r="66" spans="1:2" ht="38.25" customHeight="1" x14ac:dyDescent="0.25">
      <c r="A66" s="117" t="s">
        <v>765</v>
      </c>
      <c r="B66" s="117" t="s">
        <v>766</v>
      </c>
    </row>
    <row r="67" spans="1:2" ht="38.25" customHeight="1" x14ac:dyDescent="0.25">
      <c r="A67" s="117" t="s">
        <v>767</v>
      </c>
      <c r="B67" s="117" t="s">
        <v>768</v>
      </c>
    </row>
    <row r="68" spans="1:2" ht="25.5" customHeight="1" x14ac:dyDescent="0.25">
      <c r="A68" s="117" t="s">
        <v>769</v>
      </c>
      <c r="B68" s="117" t="s">
        <v>770</v>
      </c>
    </row>
  </sheetData>
  <mergeCells count="2">
    <mergeCell ref="A1:N1"/>
    <mergeCell ref="A2:N3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43"/>
  <sheetViews>
    <sheetView topLeftCell="C1" zoomScaleNormal="100" workbookViewId="0">
      <selection activeCell="D12" sqref="D12"/>
    </sheetView>
  </sheetViews>
  <sheetFormatPr defaultColWidth="8.7109375" defaultRowHeight="15" x14ac:dyDescent="0.25"/>
  <cols>
    <col min="1" max="1" width="22" customWidth="1"/>
    <col min="2" max="2" width="16" customWidth="1"/>
    <col min="3" max="3" width="20" customWidth="1"/>
    <col min="4" max="4" width="38" customWidth="1"/>
    <col min="5" max="7" width="22" customWidth="1"/>
    <col min="8" max="14" width="16" customWidth="1"/>
  </cols>
  <sheetData>
    <row r="1" spans="1:14" ht="27.75" customHeight="1" x14ac:dyDescent="0.25">
      <c r="A1" s="144" t="s">
        <v>771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1:14" ht="18" customHeight="1" x14ac:dyDescent="0.25">
      <c r="A2" s="145" t="s">
        <v>772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4" spans="1:14" ht="21.75" customHeight="1" x14ac:dyDescent="0.25">
      <c r="A4" s="200" t="s">
        <v>773</v>
      </c>
      <c r="B4" s="200"/>
      <c r="C4" s="200"/>
      <c r="D4" s="200"/>
      <c r="E4" s="200"/>
      <c r="F4" s="200"/>
      <c r="G4" s="200"/>
      <c r="H4" s="200"/>
      <c r="I4" s="200"/>
      <c r="J4" s="200"/>
      <c r="K4" s="200"/>
      <c r="L4" s="200"/>
      <c r="M4" s="200"/>
      <c r="N4" s="200"/>
    </row>
    <row r="5" spans="1:14" ht="36" customHeight="1" x14ac:dyDescent="0.25">
      <c r="A5" s="210" t="s">
        <v>774</v>
      </c>
      <c r="B5" s="210"/>
      <c r="C5" s="210"/>
      <c r="D5" s="210"/>
      <c r="E5" s="210"/>
      <c r="F5" s="210"/>
      <c r="G5" s="210"/>
      <c r="H5" s="210"/>
      <c r="I5" s="210"/>
      <c r="J5" s="210"/>
      <c r="K5" s="210"/>
      <c r="L5" s="210"/>
      <c r="M5" s="210"/>
      <c r="N5" s="210"/>
    </row>
    <row r="6" spans="1:14" x14ac:dyDescent="0.25">
      <c r="A6" s="140" t="s">
        <v>775</v>
      </c>
      <c r="E6" s="140" t="s">
        <v>776</v>
      </c>
    </row>
    <row r="7" spans="1:14" x14ac:dyDescent="0.25">
      <c r="A7" s="1" t="s">
        <v>4</v>
      </c>
      <c r="B7" s="1" t="s">
        <v>777</v>
      </c>
      <c r="C7" s="1" t="s">
        <v>778</v>
      </c>
      <c r="E7" s="1" t="s">
        <v>779</v>
      </c>
      <c r="F7" s="1" t="s">
        <v>780</v>
      </c>
      <c r="G7" s="1" t="s">
        <v>781</v>
      </c>
      <c r="H7" s="1" t="s">
        <v>16</v>
      </c>
    </row>
    <row r="8" spans="1:14" ht="18" customHeight="1" x14ac:dyDescent="0.25">
      <c r="A8" s="2" t="s">
        <v>782</v>
      </c>
      <c r="B8" s="141" t="s">
        <v>783</v>
      </c>
      <c r="C8" s="2" t="s">
        <v>784</v>
      </c>
      <c r="E8" s="2" t="s">
        <v>785</v>
      </c>
      <c r="F8" s="2" t="s">
        <v>786</v>
      </c>
      <c r="G8" s="2" t="s">
        <v>66</v>
      </c>
      <c r="H8" s="142" t="s">
        <v>353</v>
      </c>
    </row>
    <row r="9" spans="1:14" ht="18" customHeight="1" x14ac:dyDescent="0.25">
      <c r="A9" s="6" t="s">
        <v>787</v>
      </c>
      <c r="B9" s="143" t="s">
        <v>788</v>
      </c>
      <c r="C9" s="6" t="s">
        <v>789</v>
      </c>
      <c r="E9" s="6" t="s">
        <v>790</v>
      </c>
      <c r="F9" s="6" t="s">
        <v>791</v>
      </c>
      <c r="G9" s="6" t="s">
        <v>66</v>
      </c>
      <c r="H9" s="142" t="s">
        <v>353</v>
      </c>
    </row>
    <row r="10" spans="1:14" ht="18" customHeight="1" x14ac:dyDescent="0.25">
      <c r="A10" s="2" t="s">
        <v>792</v>
      </c>
      <c r="B10" s="141" t="s">
        <v>793</v>
      </c>
      <c r="C10" s="2" t="s">
        <v>794</v>
      </c>
      <c r="E10" s="2" t="s">
        <v>795</v>
      </c>
      <c r="F10" s="2" t="s">
        <v>796</v>
      </c>
      <c r="G10" s="2" t="s">
        <v>66</v>
      </c>
      <c r="H10" s="142" t="s">
        <v>353</v>
      </c>
    </row>
    <row r="11" spans="1:14" ht="18" customHeight="1" x14ac:dyDescent="0.25">
      <c r="A11" s="6" t="s">
        <v>797</v>
      </c>
      <c r="B11" s="143" t="s">
        <v>798</v>
      </c>
      <c r="C11" s="6" t="s">
        <v>799</v>
      </c>
      <c r="E11" s="6" t="s">
        <v>800</v>
      </c>
      <c r="F11" s="6" t="s">
        <v>801</v>
      </c>
      <c r="G11" s="6" t="s">
        <v>66</v>
      </c>
      <c r="H11" s="142" t="s">
        <v>353</v>
      </c>
    </row>
    <row r="12" spans="1:14" ht="18" customHeight="1" x14ac:dyDescent="0.25">
      <c r="A12" s="2" t="s">
        <v>802</v>
      </c>
      <c r="B12" s="141" t="s">
        <v>803</v>
      </c>
      <c r="C12" s="2" t="s">
        <v>804</v>
      </c>
    </row>
    <row r="15" spans="1:14" ht="21.75" customHeight="1" x14ac:dyDescent="0.25">
      <c r="A15" s="192" t="s">
        <v>805</v>
      </c>
      <c r="B15" s="192"/>
      <c r="C15" s="192"/>
      <c r="D15" s="192"/>
      <c r="E15" s="192"/>
      <c r="F15" s="192"/>
      <c r="G15" s="192"/>
      <c r="H15" s="192"/>
      <c r="I15" s="192"/>
      <c r="J15" s="192"/>
      <c r="K15" s="192"/>
      <c r="L15" s="192"/>
      <c r="M15" s="192"/>
      <c r="N15" s="192"/>
    </row>
    <row r="16" spans="1:14" ht="36" customHeight="1" x14ac:dyDescent="0.25">
      <c r="A16" s="206" t="s">
        <v>806</v>
      </c>
      <c r="B16" s="206"/>
      <c r="C16" s="206"/>
      <c r="D16" s="206"/>
      <c r="E16" s="206"/>
      <c r="F16" s="206"/>
      <c r="G16" s="206"/>
      <c r="H16" s="206"/>
      <c r="I16" s="206"/>
      <c r="J16" s="206"/>
      <c r="K16" s="206"/>
      <c r="L16" s="206"/>
      <c r="M16" s="206"/>
      <c r="N16" s="206"/>
    </row>
    <row r="17" spans="1:14" x14ac:dyDescent="0.25">
      <c r="A17" s="140" t="s">
        <v>775</v>
      </c>
      <c r="E17" s="140" t="s">
        <v>776</v>
      </c>
    </row>
    <row r="18" spans="1:14" x14ac:dyDescent="0.25">
      <c r="A18" s="1" t="s">
        <v>4</v>
      </c>
      <c r="B18" s="1" t="s">
        <v>777</v>
      </c>
      <c r="C18" s="1" t="s">
        <v>778</v>
      </c>
      <c r="E18" s="1" t="s">
        <v>779</v>
      </c>
      <c r="F18" s="1" t="s">
        <v>780</v>
      </c>
      <c r="G18" s="1" t="s">
        <v>781</v>
      </c>
      <c r="H18" s="1" t="s">
        <v>16</v>
      </c>
    </row>
    <row r="19" spans="1:14" ht="18" customHeight="1" x14ac:dyDescent="0.25">
      <c r="A19" s="2" t="s">
        <v>807</v>
      </c>
      <c r="B19" s="141" t="s">
        <v>808</v>
      </c>
      <c r="C19" s="2" t="s">
        <v>809</v>
      </c>
      <c r="E19" s="2" t="s">
        <v>810</v>
      </c>
      <c r="F19" s="2" t="s">
        <v>786</v>
      </c>
      <c r="G19" s="2" t="s">
        <v>66</v>
      </c>
      <c r="H19" s="142" t="s">
        <v>353</v>
      </c>
    </row>
    <row r="20" spans="1:14" ht="18" customHeight="1" x14ac:dyDescent="0.25">
      <c r="A20" s="6" t="s">
        <v>811</v>
      </c>
      <c r="B20" s="143" t="s">
        <v>812</v>
      </c>
      <c r="C20" s="6" t="s">
        <v>813</v>
      </c>
      <c r="E20" s="6" t="s">
        <v>814</v>
      </c>
      <c r="F20" s="6" t="s">
        <v>796</v>
      </c>
      <c r="G20" s="6" t="s">
        <v>66</v>
      </c>
      <c r="H20" s="142" t="s">
        <v>353</v>
      </c>
    </row>
    <row r="21" spans="1:14" ht="18" customHeight="1" x14ac:dyDescent="0.25">
      <c r="A21" s="2" t="s">
        <v>815</v>
      </c>
      <c r="B21" s="141" t="s">
        <v>816</v>
      </c>
      <c r="C21" s="2" t="s">
        <v>817</v>
      </c>
      <c r="E21" s="2" t="s">
        <v>818</v>
      </c>
      <c r="F21" s="2" t="s">
        <v>819</v>
      </c>
      <c r="G21" s="2" t="s">
        <v>66</v>
      </c>
      <c r="H21" s="142" t="s">
        <v>353</v>
      </c>
    </row>
    <row r="22" spans="1:14" ht="18" customHeight="1" x14ac:dyDescent="0.25">
      <c r="A22" s="6" t="s">
        <v>820</v>
      </c>
      <c r="B22" s="143" t="s">
        <v>821</v>
      </c>
      <c r="C22" s="6" t="s">
        <v>822</v>
      </c>
    </row>
    <row r="23" spans="1:14" ht="18" customHeight="1" x14ac:dyDescent="0.25">
      <c r="A23" s="2" t="s">
        <v>823</v>
      </c>
      <c r="B23" s="141" t="s">
        <v>824</v>
      </c>
      <c r="C23" s="2" t="s">
        <v>825</v>
      </c>
    </row>
    <row r="24" spans="1:14" ht="18" customHeight="1" x14ac:dyDescent="0.25">
      <c r="A24" s="6" t="s">
        <v>826</v>
      </c>
      <c r="B24" s="143" t="s">
        <v>827</v>
      </c>
      <c r="C24" s="6" t="s">
        <v>828</v>
      </c>
    </row>
    <row r="27" spans="1:14" ht="21.75" customHeight="1" x14ac:dyDescent="0.25">
      <c r="A27" s="207" t="s">
        <v>829</v>
      </c>
      <c r="B27" s="207"/>
      <c r="C27" s="207"/>
      <c r="D27" s="207"/>
      <c r="E27" s="207"/>
      <c r="F27" s="207"/>
      <c r="G27" s="207"/>
      <c r="H27" s="207"/>
      <c r="I27" s="207"/>
      <c r="J27" s="207"/>
      <c r="K27" s="207"/>
      <c r="L27" s="207"/>
      <c r="M27" s="207"/>
      <c r="N27" s="207"/>
    </row>
    <row r="28" spans="1:14" ht="36" customHeight="1" x14ac:dyDescent="0.25">
      <c r="A28" s="208" t="s">
        <v>830</v>
      </c>
      <c r="B28" s="208"/>
      <c r="C28" s="208"/>
      <c r="D28" s="208"/>
      <c r="E28" s="208"/>
      <c r="F28" s="208"/>
      <c r="G28" s="208"/>
      <c r="H28" s="208"/>
      <c r="I28" s="208"/>
      <c r="J28" s="208"/>
      <c r="K28" s="208"/>
      <c r="L28" s="208"/>
      <c r="M28" s="208"/>
      <c r="N28" s="208"/>
    </row>
    <row r="29" spans="1:14" x14ac:dyDescent="0.25">
      <c r="A29" s="140" t="s">
        <v>775</v>
      </c>
      <c r="E29" s="140" t="s">
        <v>776</v>
      </c>
    </row>
    <row r="30" spans="1:14" x14ac:dyDescent="0.25">
      <c r="A30" s="1" t="s">
        <v>4</v>
      </c>
      <c r="B30" s="1" t="s">
        <v>777</v>
      </c>
      <c r="C30" s="1" t="s">
        <v>778</v>
      </c>
      <c r="E30" s="1" t="s">
        <v>779</v>
      </c>
      <c r="F30" s="1" t="s">
        <v>780</v>
      </c>
      <c r="G30" s="1" t="s">
        <v>781</v>
      </c>
      <c r="H30" s="1" t="s">
        <v>16</v>
      </c>
    </row>
    <row r="31" spans="1:14" ht="18" customHeight="1" x14ac:dyDescent="0.25">
      <c r="A31" s="2" t="s">
        <v>831</v>
      </c>
      <c r="B31" s="141" t="s">
        <v>832</v>
      </c>
      <c r="C31" s="2" t="s">
        <v>833</v>
      </c>
      <c r="E31" s="2" t="s">
        <v>834</v>
      </c>
      <c r="F31" s="2" t="s">
        <v>66</v>
      </c>
      <c r="G31" s="2" t="s">
        <v>66</v>
      </c>
      <c r="H31" s="142" t="s">
        <v>353</v>
      </c>
    </row>
    <row r="32" spans="1:14" ht="18" customHeight="1" x14ac:dyDescent="0.25">
      <c r="A32" s="6" t="s">
        <v>835</v>
      </c>
      <c r="B32" s="143" t="s">
        <v>836</v>
      </c>
      <c r="C32" s="6" t="s">
        <v>837</v>
      </c>
      <c r="E32" s="6" t="s">
        <v>838</v>
      </c>
      <c r="F32" s="6" t="s">
        <v>839</v>
      </c>
      <c r="G32" s="6" t="s">
        <v>66</v>
      </c>
      <c r="H32" s="142" t="s">
        <v>353</v>
      </c>
    </row>
    <row r="33" spans="1:14" ht="18" customHeight="1" x14ac:dyDescent="0.25">
      <c r="A33" s="2" t="s">
        <v>840</v>
      </c>
      <c r="B33" s="141" t="s">
        <v>841</v>
      </c>
      <c r="C33" s="2" t="s">
        <v>842</v>
      </c>
      <c r="E33" s="2" t="s">
        <v>843</v>
      </c>
      <c r="F33" s="2" t="s">
        <v>844</v>
      </c>
      <c r="G33" s="2" t="s">
        <v>66</v>
      </c>
      <c r="H33" s="142" t="s">
        <v>353</v>
      </c>
    </row>
    <row r="34" spans="1:14" ht="18" customHeight="1" x14ac:dyDescent="0.25">
      <c r="A34" s="6" t="s">
        <v>845</v>
      </c>
      <c r="B34" s="143" t="s">
        <v>846</v>
      </c>
      <c r="C34" s="6" t="s">
        <v>847</v>
      </c>
    </row>
    <row r="37" spans="1:14" ht="24" customHeight="1" x14ac:dyDescent="0.25">
      <c r="A37" s="209" t="s">
        <v>848</v>
      </c>
      <c r="B37" s="209"/>
      <c r="C37" s="209"/>
      <c r="D37" s="209"/>
      <c r="E37" s="209"/>
      <c r="F37" s="209"/>
      <c r="G37" s="209"/>
      <c r="H37" s="209"/>
      <c r="I37" s="209"/>
      <c r="J37" s="209"/>
      <c r="K37" s="209"/>
      <c r="L37" s="209"/>
      <c r="M37" s="209"/>
      <c r="N37" s="209"/>
    </row>
    <row r="38" spans="1:14" x14ac:dyDescent="0.25">
      <c r="A38" s="1" t="s">
        <v>849</v>
      </c>
      <c r="B38" s="1" t="s">
        <v>850</v>
      </c>
      <c r="C38" s="1" t="s">
        <v>851</v>
      </c>
      <c r="D38" s="1" t="s">
        <v>852</v>
      </c>
      <c r="E38" s="1" t="s">
        <v>16</v>
      </c>
    </row>
    <row r="39" spans="1:14" ht="19.5" customHeight="1" x14ac:dyDescent="0.25">
      <c r="A39" s="2" t="s">
        <v>853</v>
      </c>
      <c r="B39" s="2" t="s">
        <v>854</v>
      </c>
      <c r="C39" s="2" t="s">
        <v>855</v>
      </c>
      <c r="D39" s="2" t="s">
        <v>856</v>
      </c>
      <c r="E39" s="142" t="s">
        <v>353</v>
      </c>
    </row>
    <row r="40" spans="1:14" ht="19.5" customHeight="1" x14ac:dyDescent="0.25">
      <c r="A40" s="6" t="s">
        <v>857</v>
      </c>
      <c r="B40" s="6" t="s">
        <v>858</v>
      </c>
      <c r="C40" s="6" t="s">
        <v>859</v>
      </c>
      <c r="D40" s="6" t="s">
        <v>860</v>
      </c>
      <c r="E40" s="142" t="s">
        <v>353</v>
      </c>
    </row>
    <row r="41" spans="1:14" ht="19.5" customHeight="1" x14ac:dyDescent="0.25">
      <c r="A41" s="2" t="s">
        <v>861</v>
      </c>
      <c r="B41" s="2" t="s">
        <v>854</v>
      </c>
      <c r="C41" s="2" t="s">
        <v>862</v>
      </c>
      <c r="D41" s="2" t="s">
        <v>863</v>
      </c>
      <c r="E41" s="142" t="s">
        <v>353</v>
      </c>
    </row>
    <row r="42" spans="1:14" ht="19.5" customHeight="1" x14ac:dyDescent="0.25">
      <c r="A42" s="6" t="s">
        <v>864</v>
      </c>
      <c r="B42" s="6" t="s">
        <v>858</v>
      </c>
      <c r="C42" s="6" t="s">
        <v>865</v>
      </c>
      <c r="D42" s="6" t="s">
        <v>866</v>
      </c>
      <c r="E42" s="142" t="s">
        <v>353</v>
      </c>
    </row>
    <row r="43" spans="1:14" ht="19.5" customHeight="1" x14ac:dyDescent="0.25">
      <c r="A43" s="2" t="s">
        <v>867</v>
      </c>
      <c r="B43" s="2" t="s">
        <v>868</v>
      </c>
      <c r="C43" s="2" t="s">
        <v>869</v>
      </c>
      <c r="D43" s="2" t="s">
        <v>870</v>
      </c>
      <c r="E43" s="142" t="s">
        <v>353</v>
      </c>
    </row>
  </sheetData>
  <mergeCells count="9">
    <mergeCell ref="A16:N16"/>
    <mergeCell ref="A27:N27"/>
    <mergeCell ref="A28:N28"/>
    <mergeCell ref="A37:N37"/>
    <mergeCell ref="A1:N1"/>
    <mergeCell ref="A2:N2"/>
    <mergeCell ref="A4:N4"/>
    <mergeCell ref="A5:N5"/>
    <mergeCell ref="A15:N15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N14"/>
  <sheetViews>
    <sheetView zoomScaleNormal="100" workbookViewId="0">
      <selection activeCell="F14" sqref="F14"/>
    </sheetView>
  </sheetViews>
  <sheetFormatPr defaultColWidth="8.7109375" defaultRowHeight="15" x14ac:dyDescent="0.25"/>
  <cols>
    <col min="1" max="1" width="8" customWidth="1"/>
    <col min="2" max="2" width="30" customWidth="1"/>
    <col min="3" max="3" width="55" customWidth="1"/>
    <col min="4" max="4" width="24" customWidth="1"/>
    <col min="5" max="5" width="8" customWidth="1"/>
    <col min="6" max="7" width="28" customWidth="1"/>
  </cols>
  <sheetData>
    <row r="1" spans="1:14" ht="27.75" customHeight="1" x14ac:dyDescent="0.25">
      <c r="A1" s="144" t="s">
        <v>871</v>
      </c>
      <c r="B1" s="144"/>
      <c r="C1" s="144"/>
      <c r="D1" s="144"/>
      <c r="E1" s="144"/>
      <c r="F1" s="144"/>
      <c r="G1" s="144"/>
      <c r="H1" s="144"/>
      <c r="I1" s="144"/>
      <c r="J1" s="144"/>
      <c r="K1" s="144"/>
      <c r="L1" s="144"/>
      <c r="M1" s="144"/>
      <c r="N1" s="144"/>
    </row>
    <row r="2" spans="1:14" ht="18" customHeight="1" x14ac:dyDescent="0.25">
      <c r="A2" s="145" t="s">
        <v>872</v>
      </c>
      <c r="B2" s="145"/>
      <c r="C2" s="145"/>
      <c r="D2" s="145"/>
      <c r="E2" s="145"/>
      <c r="F2" s="145"/>
      <c r="G2" s="145"/>
      <c r="H2" s="145"/>
      <c r="I2" s="145"/>
      <c r="J2" s="145"/>
      <c r="K2" s="145"/>
      <c r="L2" s="145"/>
      <c r="M2" s="145"/>
      <c r="N2" s="145"/>
    </row>
    <row r="4" spans="1:14" x14ac:dyDescent="0.25">
      <c r="A4" s="1" t="s">
        <v>873</v>
      </c>
      <c r="B4" s="1" t="s">
        <v>874</v>
      </c>
      <c r="C4" s="1" t="s">
        <v>875</v>
      </c>
      <c r="D4" s="1" t="s">
        <v>876</v>
      </c>
      <c r="E4" s="1" t="s">
        <v>877</v>
      </c>
      <c r="F4" s="1" t="s">
        <v>878</v>
      </c>
      <c r="G4" s="1" t="s">
        <v>17</v>
      </c>
    </row>
    <row r="5" spans="1:14" ht="21.75" customHeight="1" x14ac:dyDescent="0.25">
      <c r="A5" s="2" t="s">
        <v>24</v>
      </c>
      <c r="B5" s="2" t="s">
        <v>879</v>
      </c>
      <c r="C5" s="2" t="s">
        <v>880</v>
      </c>
      <c r="D5" s="2" t="s">
        <v>881</v>
      </c>
      <c r="E5" s="2" t="s">
        <v>882</v>
      </c>
      <c r="F5" s="2" t="s">
        <v>883</v>
      </c>
      <c r="G5" s="2" t="s">
        <v>884</v>
      </c>
    </row>
    <row r="6" spans="1:14" ht="21.75" customHeight="1" x14ac:dyDescent="0.25">
      <c r="A6" s="6" t="s">
        <v>39</v>
      </c>
      <c r="B6" s="6" t="s">
        <v>885</v>
      </c>
      <c r="C6" s="6" t="s">
        <v>886</v>
      </c>
      <c r="D6" s="6" t="s">
        <v>887</v>
      </c>
      <c r="E6" s="6" t="s">
        <v>888</v>
      </c>
      <c r="F6" s="6" t="s">
        <v>889</v>
      </c>
      <c r="G6" s="6" t="s">
        <v>890</v>
      </c>
    </row>
    <row r="7" spans="1:14" ht="21.75" customHeight="1" x14ac:dyDescent="0.25">
      <c r="A7" s="2" t="s">
        <v>891</v>
      </c>
      <c r="B7" s="2" t="s">
        <v>892</v>
      </c>
      <c r="C7" s="2" t="s">
        <v>893</v>
      </c>
      <c r="D7" s="2" t="s">
        <v>894</v>
      </c>
      <c r="E7" s="2" t="s">
        <v>895</v>
      </c>
      <c r="F7" s="2" t="s">
        <v>896</v>
      </c>
      <c r="G7" s="2" t="s">
        <v>897</v>
      </c>
    </row>
    <row r="8" spans="1:14" ht="21.75" customHeight="1" x14ac:dyDescent="0.25">
      <c r="A8" s="6" t="s">
        <v>51</v>
      </c>
      <c r="B8" s="6" t="s">
        <v>898</v>
      </c>
      <c r="C8" s="6" t="s">
        <v>899</v>
      </c>
      <c r="D8" s="6" t="s">
        <v>894</v>
      </c>
      <c r="E8" s="6" t="s">
        <v>895</v>
      </c>
      <c r="F8" s="6" t="s">
        <v>900</v>
      </c>
      <c r="G8" s="6" t="s">
        <v>901</v>
      </c>
    </row>
    <row r="9" spans="1:14" ht="21.75" customHeight="1" x14ac:dyDescent="0.25">
      <c r="A9" s="2" t="s">
        <v>902</v>
      </c>
      <c r="B9" s="2" t="s">
        <v>903</v>
      </c>
      <c r="C9" s="2" t="s">
        <v>904</v>
      </c>
      <c r="D9" s="2" t="s">
        <v>905</v>
      </c>
      <c r="E9" s="2" t="s">
        <v>906</v>
      </c>
      <c r="F9" s="2" t="s">
        <v>907</v>
      </c>
      <c r="G9" s="2" t="s">
        <v>908</v>
      </c>
    </row>
    <row r="10" spans="1:14" ht="21.75" customHeight="1" x14ac:dyDescent="0.25">
      <c r="A10" s="6" t="s">
        <v>909</v>
      </c>
      <c r="B10" s="6" t="s">
        <v>910</v>
      </c>
      <c r="C10" s="6" t="s">
        <v>911</v>
      </c>
      <c r="D10" s="6" t="s">
        <v>912</v>
      </c>
      <c r="E10" s="6" t="s">
        <v>913</v>
      </c>
      <c r="F10" s="6" t="s">
        <v>914</v>
      </c>
      <c r="G10" s="6" t="s">
        <v>915</v>
      </c>
    </row>
    <row r="11" spans="1:14" ht="21.75" customHeight="1" x14ac:dyDescent="0.25">
      <c r="A11" s="2" t="s">
        <v>916</v>
      </c>
      <c r="B11" s="2" t="s">
        <v>917</v>
      </c>
      <c r="C11" s="2" t="s">
        <v>918</v>
      </c>
      <c r="D11" s="2" t="s">
        <v>919</v>
      </c>
      <c r="E11" s="2" t="s">
        <v>920</v>
      </c>
      <c r="F11" s="2" t="s">
        <v>921</v>
      </c>
      <c r="G11" s="2" t="s">
        <v>922</v>
      </c>
    </row>
    <row r="12" spans="1:14" ht="21.75" customHeight="1" x14ac:dyDescent="0.25">
      <c r="A12" s="6" t="s">
        <v>923</v>
      </c>
      <c r="B12" s="6" t="s">
        <v>924</v>
      </c>
      <c r="C12" s="6" t="s">
        <v>925</v>
      </c>
      <c r="D12" s="6" t="s">
        <v>926</v>
      </c>
      <c r="E12" s="6" t="s">
        <v>927</v>
      </c>
      <c r="F12" s="6" t="s">
        <v>928</v>
      </c>
      <c r="G12" s="6" t="s">
        <v>929</v>
      </c>
    </row>
    <row r="13" spans="1:14" ht="21.75" customHeight="1" x14ac:dyDescent="0.25">
      <c r="A13" s="2" t="s">
        <v>930</v>
      </c>
      <c r="B13" s="2" t="s">
        <v>931</v>
      </c>
      <c r="C13" s="2" t="s">
        <v>932</v>
      </c>
      <c r="D13" s="2" t="s">
        <v>933</v>
      </c>
      <c r="E13" s="2" t="s">
        <v>934</v>
      </c>
      <c r="F13" s="2" t="s">
        <v>935</v>
      </c>
      <c r="G13" s="2" t="s">
        <v>936</v>
      </c>
    </row>
    <row r="14" spans="1:14" ht="21.75" customHeight="1" x14ac:dyDescent="0.25">
      <c r="A14" s="6" t="s">
        <v>937</v>
      </c>
      <c r="B14" s="6" t="s">
        <v>938</v>
      </c>
      <c r="C14" s="6" t="s">
        <v>939</v>
      </c>
      <c r="D14" s="6" t="s">
        <v>940</v>
      </c>
      <c r="E14" s="6" t="s">
        <v>913</v>
      </c>
      <c r="F14" s="6" t="s">
        <v>941</v>
      </c>
      <c r="G14" s="6" t="s">
        <v>942</v>
      </c>
    </row>
  </sheetData>
  <mergeCells count="2">
    <mergeCell ref="A1:N1"/>
    <mergeCell ref="A2:N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Literature Parameters</vt:lpstr>
      <vt:lpstr>Parameter Extraction Log</vt:lpstr>
      <vt:lpstr>Markov States</vt:lpstr>
      <vt:lpstr>24 Stratified Matrices</vt:lpstr>
      <vt:lpstr>Economic Outputs</vt:lpstr>
      <vt:lpstr>AI Model Tracking</vt:lpstr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Edward Coote</cp:lastModifiedBy>
  <cp:revision>0</cp:revision>
  <dcterms:created xsi:type="dcterms:W3CDTF">2026-03-25T20:27:14Z</dcterms:created>
  <dcterms:modified xsi:type="dcterms:W3CDTF">2026-04-01T16:16:26Z</dcterms:modified>
  <dc:language>en-US</dc:language>
</cp:coreProperties>
</file>