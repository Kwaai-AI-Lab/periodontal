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miledesignsdental-my.sharepoint.com/personal/edward_coote_21d_co_uk/Documents/Documents/PD_AD/Data/Results/65 years plus V2/"/>
    </mc:Choice>
  </mc:AlternateContent>
  <xr:revisionPtr revIDLastSave="31" documentId="11_14C30920D5494F72EC25343E1A4B198E330D4211" xr6:coauthVersionLast="47" xr6:coauthVersionMax="47" xr10:uidLastSave="{A1AAFA7F-3C57-4C7B-B308-A661AD65CC2E}"/>
  <bookViews>
    <workbookView xWindow="6480" yWindow="1935" windowWidth="19140" windowHeight="15345" tabRatio="750" xr2:uid="{00000000-000D-0000-FFFF-FFFF00000000}"/>
  </bookViews>
  <sheets>
    <sheet name="Summary" sheetId="1" r:id="rId1"/>
    <sheet name="YearlyFlows" sheetId="2" r:id="rId2"/>
    <sheet name="RiskFactorPrevalence" sheetId="3" r:id="rId3"/>
    <sheet name="SeverityPrevalence" sheetId="4" r:id="rId4"/>
    <sheet name="CasesPer1k" sheetId="5" r:id="rId5"/>
    <sheet name="IncidenceByYearSex" sheetId="6" r:id="rId6"/>
    <sheet name="PrevalenceByAgeSex" sheetId="7" r:id="rId7"/>
    <sheet name="MeanAgeByTimeStep" sheetId="8" r:id="rId8"/>
    <sheet name="BaselineAgeDist" sheetId="9" r:id="rId9"/>
    <sheet name="AgeAtDeathDist" sheetId="10" r:id="rId10"/>
    <sheet name="AgeAtOnsetDist" sheetId="11" r:id="rId11"/>
    <sheet name="RiskFactorOnsets" sheetId="12" r:id="rId12"/>
    <sheet name="LifetimeRiskNormal" sheetId="13" r:id="rId13"/>
    <sheet name="LifetimeRiskAll" sheetId="14" r:id="rId14"/>
    <sheet name="TransitionProbabilities" sheetId="15" r:id="rId15"/>
    <sheet name="TransitionProbabilitiesAverage" sheetId="16" r:id="rId16"/>
    <sheet name="TransitionCounts" sheetId="17" r:id="rId17"/>
    <sheet name="TransitionStarts" sheetId="18" r:id="rId18"/>
    <sheet name="AgeHazardSummary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1" l="1"/>
  <c r="X21" i="1"/>
</calcChain>
</file>

<file path=xl/sharedStrings.xml><?xml version="1.0" encoding="utf-8"?>
<sst xmlns="http://schemas.openxmlformats.org/spreadsheetml/2006/main" count="1597" uniqueCount="103">
  <si>
    <t>time_step</t>
  </si>
  <si>
    <t>calendar_year</t>
  </si>
  <si>
    <t>population_total</t>
  </si>
  <si>
    <t>population_alive</t>
  </si>
  <si>
    <t>baseline_alive</t>
  </si>
  <si>
    <t>entrants</t>
  </si>
  <si>
    <t>deaths</t>
  </si>
  <si>
    <t>incident_onsets</t>
  </si>
  <si>
    <t>incidence_per_1000_alive</t>
  </si>
  <si>
    <t>total_qalys_patient</t>
  </si>
  <si>
    <t>total_qalys_caregiver</t>
  </si>
  <si>
    <t>total_qalys_total</t>
  </si>
  <si>
    <t>total_costs_nhs</t>
  </si>
  <si>
    <t>total_costs_informal</t>
  </si>
  <si>
    <t>total_costs_nhs_perspective</t>
  </si>
  <si>
    <t>total_costs_societal</t>
  </si>
  <si>
    <t>dementia_cases_total</t>
  </si>
  <si>
    <t>dementia_prevalence_alive</t>
  </si>
  <si>
    <t>mean_age_alive</t>
  </si>
  <si>
    <t>mean_age_dementia</t>
  </si>
  <si>
    <t>stage_cognitively_normal</t>
  </si>
  <si>
    <t>stage_mild</t>
  </si>
  <si>
    <t>stage_moderate</t>
  </si>
  <si>
    <t>stage_severe</t>
  </si>
  <si>
    <t>stage_death</t>
  </si>
  <si>
    <t>living_home</t>
  </si>
  <si>
    <t>living_institution</t>
  </si>
  <si>
    <t>living_unknown</t>
  </si>
  <si>
    <t>ad_cases_age_65_79</t>
  </si>
  <si>
    <t>ad_cases_age_80_plus</t>
  </si>
  <si>
    <t>risk_prev_alive_CVD_disease</t>
  </si>
  <si>
    <t>risk_prev_dementia_CVD_disease</t>
  </si>
  <si>
    <t>risk_prev_alive_cerebrovascular_disease</t>
  </si>
  <si>
    <t>risk_prev_dementia_cerebrovascular_disease</t>
  </si>
  <si>
    <t>risk_prev_alive_diabetes</t>
  </si>
  <si>
    <t>risk_prev_dementia_diabetes</t>
  </si>
  <si>
    <t>risk_prev_alive_periodontal_disease</t>
  </si>
  <si>
    <t>risk_prev_dementia_periodontal_disease</t>
  </si>
  <si>
    <t>risk_prev_alive_smoking</t>
  </si>
  <si>
    <t>risk_prev_dementia_smoking</t>
  </si>
  <si>
    <t>year_qalys_patient</t>
  </si>
  <si>
    <t>year_qalys_caregiver</t>
  </si>
  <si>
    <t>year_qalys_total</t>
  </si>
  <si>
    <t>year_costs_nhs</t>
  </si>
  <si>
    <t>year_costs_informal</t>
  </si>
  <si>
    <t>year_costs_societal</t>
  </si>
  <si>
    <t>mild_cases</t>
  </si>
  <si>
    <t>moderate_cases</t>
  </si>
  <si>
    <t>severe_cases</t>
  </si>
  <si>
    <t>total_dementia_cases</t>
  </si>
  <si>
    <t>cases_per_1k_population</t>
  </si>
  <si>
    <t>sex</t>
  </si>
  <si>
    <t>age_band</t>
  </si>
  <si>
    <t>age_lower</t>
  </si>
  <si>
    <t>age_upper</t>
  </si>
  <si>
    <t>person_years_at_risk</t>
  </si>
  <si>
    <t>incident_onsets_at_risk</t>
  </si>
  <si>
    <t>population_alive_in_band</t>
  </si>
  <si>
    <t>prevalent_dementia_cases_in_band</t>
  </si>
  <si>
    <t>dementia_prevalence_in_band</t>
  </si>
  <si>
    <t>all</t>
  </si>
  <si>
    <t>65-69</t>
  </si>
  <si>
    <t>70-74</t>
  </si>
  <si>
    <t>75-79</t>
  </si>
  <si>
    <t>80-84</t>
  </si>
  <si>
    <t>85-89</t>
  </si>
  <si>
    <t>90+</t>
  </si>
  <si>
    <t>female</t>
  </si>
  <si>
    <t>male</t>
  </si>
  <si>
    <t>age</t>
  </si>
  <si>
    <t>count</t>
  </si>
  <si>
    <t>age_at_onset</t>
  </si>
  <si>
    <t>risk_factor</t>
  </si>
  <si>
    <t>onsets_with_risk</t>
  </si>
  <si>
    <t>onsets_without_risk</t>
  </si>
  <si>
    <t>total_onsets</t>
  </si>
  <si>
    <t>with_fraction</t>
  </si>
  <si>
    <t>smoking</t>
  </si>
  <si>
    <t>periodontal_disease</t>
  </si>
  <si>
    <t>cerebrovascular_disease</t>
  </si>
  <si>
    <t>CVD_disease</t>
  </si>
  <si>
    <t>diabetes</t>
  </si>
  <si>
    <t>entry_age</t>
  </si>
  <si>
    <t>population</t>
  </si>
  <si>
    <t>dementia_cases</t>
  </si>
  <si>
    <t>lifetime_risk</t>
  </si>
  <si>
    <t>lifetime_risk_pct</t>
  </si>
  <si>
    <t>from_stage</t>
  </si>
  <si>
    <t>cognitively_normal</t>
  </si>
  <si>
    <t>death</t>
  </si>
  <si>
    <t>mild</t>
  </si>
  <si>
    <t>moderate</t>
  </si>
  <si>
    <t>severe</t>
  </si>
  <si>
    <t>start_count</t>
  </si>
  <si>
    <t>age band</t>
  </si>
  <si>
    <t>age mid</t>
  </si>
  <si>
    <t>cases (all)</t>
  </si>
  <si>
    <t>population (all)</t>
  </si>
  <si>
    <t>prevalence</t>
  </si>
  <si>
    <t>prevalence (smoothed)</t>
  </si>
  <si>
    <t>Incidence hazard/yr</t>
  </si>
  <si>
    <t>h/h_ref</t>
  </si>
  <si>
    <t>log(h/h_ref)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</si>
</sst>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Cased aged 65 years to 79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Summary!$B$2:$B$19</c15:sqref>
                  </c15:fullRef>
                </c:ext>
              </c:extLst>
              <c:f>Summary!$B$3:$B$19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Summary!$AC$2:$AC$19</c15:sqref>
                  </c15:fullRef>
                </c:ext>
              </c:extLst>
              <c:f>Summary!$AC$3:$AC$19</c:f>
              <c:numCache>
                <c:formatCode>General</c:formatCode>
                <c:ptCount val="17"/>
                <c:pt idx="0">
                  <c:v>127230</c:v>
                </c:pt>
                <c:pt idx="1">
                  <c:v>140890</c:v>
                </c:pt>
                <c:pt idx="2">
                  <c:v>150107</c:v>
                </c:pt>
                <c:pt idx="3">
                  <c:v>155416</c:v>
                </c:pt>
                <c:pt idx="4">
                  <c:v>156699</c:v>
                </c:pt>
                <c:pt idx="5">
                  <c:v>154689</c:v>
                </c:pt>
                <c:pt idx="6">
                  <c:v>149811</c:v>
                </c:pt>
                <c:pt idx="7">
                  <c:v>143104</c:v>
                </c:pt>
                <c:pt idx="8">
                  <c:v>134561</c:v>
                </c:pt>
                <c:pt idx="9">
                  <c:v>124883</c:v>
                </c:pt>
                <c:pt idx="10">
                  <c:v>113512</c:v>
                </c:pt>
                <c:pt idx="11">
                  <c:v>100804</c:v>
                </c:pt>
                <c:pt idx="12">
                  <c:v>86583</c:v>
                </c:pt>
                <c:pt idx="13">
                  <c:v>71086</c:v>
                </c:pt>
                <c:pt idx="14">
                  <c:v>54642</c:v>
                </c:pt>
                <c:pt idx="15">
                  <c:v>54775</c:v>
                </c:pt>
                <c:pt idx="16">
                  <c:v>55027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A-4A37-9FEF-565B6C9D5A83}"/>
            </c:ext>
          </c:extLst>
        </c:ser>
        <c:ser>
          <c:idx val="1"/>
          <c:order val="1"/>
          <c:tx>
            <c:v>Cases aged 80+ years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Summary!$B$2:$B$19</c15:sqref>
                  </c15:fullRef>
                </c:ext>
              </c:extLst>
              <c:f>Summary!$B$3:$B$19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Summary!$AD$2:$AD$19</c15:sqref>
                  </c15:fullRef>
                </c:ext>
              </c:extLst>
              <c:f>Summary!$AD$3:$AD$19</c:f>
              <c:numCache>
                <c:formatCode>General</c:formatCode>
                <c:ptCount val="17"/>
                <c:pt idx="0">
                  <c:v>702054</c:v>
                </c:pt>
                <c:pt idx="1">
                  <c:v>699132</c:v>
                </c:pt>
                <c:pt idx="2">
                  <c:v>689407</c:v>
                </c:pt>
                <c:pt idx="3">
                  <c:v>678838</c:v>
                </c:pt>
                <c:pt idx="4">
                  <c:v>672761</c:v>
                </c:pt>
                <c:pt idx="5">
                  <c:v>672347</c:v>
                </c:pt>
                <c:pt idx="6">
                  <c:v>678221</c:v>
                </c:pt>
                <c:pt idx="7">
                  <c:v>689686</c:v>
                </c:pt>
                <c:pt idx="8">
                  <c:v>708921</c:v>
                </c:pt>
                <c:pt idx="9">
                  <c:v>733602</c:v>
                </c:pt>
                <c:pt idx="10">
                  <c:v>763065</c:v>
                </c:pt>
                <c:pt idx="11">
                  <c:v>796726</c:v>
                </c:pt>
                <c:pt idx="12">
                  <c:v>834710</c:v>
                </c:pt>
                <c:pt idx="13">
                  <c:v>889065</c:v>
                </c:pt>
                <c:pt idx="14">
                  <c:v>930158</c:v>
                </c:pt>
                <c:pt idx="15">
                  <c:v>955431</c:v>
                </c:pt>
                <c:pt idx="16">
                  <c:v>978424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A-4A37-9FEF-565B6C9D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232975"/>
        <c:axId val="52230575"/>
      </c:barChart>
      <c:catAx>
        <c:axId val="522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0575"/>
        <c:crosses val="autoZero"/>
        <c:auto val="1"/>
        <c:lblAlgn val="ctr"/>
        <c:lblOffset val="100"/>
        <c:noMultiLvlLbl val="0"/>
      </c:catAx>
      <c:valAx>
        <c:axId val="522305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809625</xdr:colOff>
      <xdr:row>19</xdr:row>
      <xdr:rowOff>185737</xdr:rowOff>
    </xdr:from>
    <xdr:to>
      <xdr:col>31</xdr:col>
      <xdr:colOff>1133475</xdr:colOff>
      <xdr:row>34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7791E-6BDD-992C-ABB4-1AD6ADA4E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3"/>
  <sheetViews>
    <sheetView tabSelected="1" topLeftCell="P1" workbookViewId="0">
      <selection activeCell="A5" sqref="A5:XFD5"/>
    </sheetView>
  </sheetViews>
  <sheetFormatPr defaultRowHeight="15" x14ac:dyDescent="0.25"/>
  <cols>
    <col min="1" max="1" width="10" bestFit="1" customWidth="1"/>
    <col min="2" max="2" width="13.5703125" bestFit="1" customWidth="1"/>
    <col min="3" max="3" width="16" bestFit="1" customWidth="1"/>
    <col min="4" max="4" width="16.140625" bestFit="1" customWidth="1"/>
    <col min="5" max="5" width="14" bestFit="1" customWidth="1"/>
    <col min="6" max="6" width="8.42578125" bestFit="1" customWidth="1"/>
    <col min="7" max="7" width="7" bestFit="1" customWidth="1"/>
    <col min="8" max="8" width="15.28515625" bestFit="1" customWidth="1"/>
    <col min="9" max="9" width="24.28515625" bestFit="1" customWidth="1"/>
    <col min="10" max="10" width="18.42578125" bestFit="1" customWidth="1"/>
    <col min="11" max="11" width="20.140625" bestFit="1" customWidth="1"/>
    <col min="12" max="12" width="16" bestFit="1" customWidth="1"/>
    <col min="13" max="13" width="14.85546875" bestFit="1" customWidth="1"/>
    <col min="14" max="14" width="19.42578125" bestFit="1" customWidth="1"/>
    <col min="15" max="15" width="26.7109375" bestFit="1" customWidth="1"/>
    <col min="16" max="16" width="18.7109375" bestFit="1" customWidth="1"/>
    <col min="17" max="17" width="20.7109375" bestFit="1" customWidth="1"/>
    <col min="18" max="18" width="26.28515625" bestFit="1" customWidth="1"/>
    <col min="19" max="19" width="15.5703125" bestFit="1" customWidth="1"/>
    <col min="20" max="20" width="20" bestFit="1" customWidth="1"/>
    <col min="21" max="21" width="24.140625" bestFit="1" customWidth="1"/>
    <col min="22" max="22" width="10.7109375" bestFit="1" customWidth="1"/>
    <col min="23" max="23" width="15.5703125" bestFit="1" customWidth="1"/>
    <col min="24" max="24" width="12.7109375" bestFit="1" customWidth="1"/>
    <col min="25" max="25" width="11.85546875" bestFit="1" customWidth="1"/>
    <col min="26" max="26" width="12" bestFit="1" customWidth="1"/>
    <col min="27" max="27" width="16.28515625" bestFit="1" customWidth="1"/>
    <col min="28" max="28" width="15.28515625" bestFit="1" customWidth="1"/>
    <col min="29" max="29" width="19.28515625" bestFit="1" customWidth="1"/>
    <col min="30" max="30" width="21" bestFit="1" customWidth="1"/>
    <col min="31" max="31" width="27.42578125" bestFit="1" customWidth="1"/>
    <col min="32" max="32" width="31.85546875" bestFit="1" customWidth="1"/>
    <col min="33" max="33" width="38.140625" bestFit="1" customWidth="1"/>
    <col min="34" max="34" width="42.5703125" bestFit="1" customWidth="1"/>
    <col min="35" max="35" width="23.5703125" bestFit="1" customWidth="1"/>
    <col min="36" max="36" width="28" bestFit="1" customWidth="1"/>
    <col min="37" max="37" width="34.42578125" bestFit="1" customWidth="1"/>
    <col min="38" max="38" width="38.85546875" bestFit="1" customWidth="1"/>
    <col min="39" max="39" width="23.28515625" bestFit="1" customWidth="1"/>
    <col min="40" max="40" width="27.7109375" bestFit="1" customWidth="1"/>
    <col min="41" max="41" width="18.140625" bestFit="1" customWidth="1"/>
    <col min="42" max="42" width="19.85546875" bestFit="1" customWidth="1"/>
    <col min="43" max="43" width="15.7109375" bestFit="1" customWidth="1"/>
    <col min="44" max="44" width="14.5703125" bestFit="1" customWidth="1"/>
    <col min="45" max="45" width="19.140625" bestFit="1" customWidth="1"/>
    <col min="46" max="46" width="18.425781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0</v>
      </c>
      <c r="B2">
        <v>2023</v>
      </c>
      <c r="C2">
        <v>10787479</v>
      </c>
      <c r="D2">
        <v>10787479</v>
      </c>
      <c r="E2">
        <v>10787479</v>
      </c>
      <c r="F2">
        <v>700000</v>
      </c>
      <c r="G2">
        <v>490000</v>
      </c>
      <c r="H2">
        <v>80000</v>
      </c>
      <c r="I2">
        <v>7.4160051667308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802386</v>
      </c>
      <c r="R2">
        <v>7.4381234021405743E-2</v>
      </c>
      <c r="S2">
        <v>80.979452289084406</v>
      </c>
      <c r="T2">
        <v>87.567467528097453</v>
      </c>
      <c r="U2">
        <v>9985093</v>
      </c>
      <c r="V2">
        <v>398969</v>
      </c>
      <c r="W2">
        <v>299115</v>
      </c>
      <c r="X2">
        <v>104302</v>
      </c>
      <c r="Y2">
        <v>0</v>
      </c>
      <c r="Z2">
        <v>10787479</v>
      </c>
      <c r="AA2">
        <v>0</v>
      </c>
      <c r="AB2">
        <v>0</v>
      </c>
      <c r="AC2">
        <v>108297</v>
      </c>
      <c r="AD2">
        <v>694089</v>
      </c>
      <c r="AE2">
        <v>9.4916059628018745E-2</v>
      </c>
      <c r="AF2">
        <v>9.5252160431513008E-2</v>
      </c>
      <c r="AG2">
        <v>1.7986130030936791E-2</v>
      </c>
      <c r="AH2">
        <v>1.7824338909203302E-2</v>
      </c>
      <c r="AI2">
        <v>0.1161509561223711</v>
      </c>
      <c r="AJ2">
        <v>0.11601648084587721</v>
      </c>
      <c r="AK2">
        <v>0.4999741830320133</v>
      </c>
      <c r="AL2">
        <v>0.4999763206237397</v>
      </c>
      <c r="AM2">
        <v>0.10417308807739049</v>
      </c>
      <c r="AN2">
        <v>0.1021627994506385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>
        <v>1</v>
      </c>
      <c r="B3">
        <v>2024</v>
      </c>
      <c r="C3">
        <v>11491615</v>
      </c>
      <c r="D3">
        <v>10999835</v>
      </c>
      <c r="E3">
        <v>10323309</v>
      </c>
      <c r="F3">
        <v>704136</v>
      </c>
      <c r="G3">
        <v>493275</v>
      </c>
      <c r="H3">
        <v>99736</v>
      </c>
      <c r="I3">
        <v>9.0670450965855398</v>
      </c>
      <c r="J3">
        <v>7978474.5329058291</v>
      </c>
      <c r="K3">
        <v>635408.26001519046</v>
      </c>
      <c r="L3">
        <v>8613882.7929210197</v>
      </c>
      <c r="M3">
        <v>8419073299.0380173</v>
      </c>
      <c r="N3">
        <v>17581426809.23436</v>
      </c>
      <c r="O3">
        <v>8419073299.0380173</v>
      </c>
      <c r="P3">
        <v>26000500108.272369</v>
      </c>
      <c r="Q3">
        <v>829284</v>
      </c>
      <c r="R3">
        <v>7.5390585404235613E-2</v>
      </c>
      <c r="S3">
        <v>81.516015194773374</v>
      </c>
      <c r="T3">
        <v>87.960728773254999</v>
      </c>
      <c r="U3">
        <v>10170551</v>
      </c>
      <c r="V3">
        <v>336552</v>
      </c>
      <c r="W3">
        <v>315882</v>
      </c>
      <c r="X3">
        <v>193628</v>
      </c>
      <c r="Y3">
        <v>475002</v>
      </c>
      <c r="Z3">
        <v>10900643</v>
      </c>
      <c r="AA3">
        <v>99192</v>
      </c>
      <c r="AB3">
        <v>0</v>
      </c>
      <c r="AC3">
        <v>127230</v>
      </c>
      <c r="AD3">
        <v>702054</v>
      </c>
      <c r="AE3">
        <v>9.4899878043625194E-2</v>
      </c>
      <c r="AF3">
        <v>0.1054825608597296</v>
      </c>
      <c r="AG3">
        <v>1.7989542570411281E-2</v>
      </c>
      <c r="AH3">
        <v>2.0612962507416031E-2</v>
      </c>
      <c r="AI3">
        <v>0.1161242873188552</v>
      </c>
      <c r="AJ3">
        <v>0.12080782940464301</v>
      </c>
      <c r="AK3">
        <v>0.49996331763158258</v>
      </c>
      <c r="AL3">
        <v>0.51163172085799313</v>
      </c>
      <c r="AM3">
        <v>0.10415019861661561</v>
      </c>
      <c r="AN3">
        <v>0.1068910047703802</v>
      </c>
      <c r="AO3">
        <v>7978474.5329058291</v>
      </c>
      <c r="AP3">
        <v>635408.26001519046</v>
      </c>
      <c r="AQ3">
        <v>8613882.7929210197</v>
      </c>
      <c r="AR3">
        <v>8419073299.0380173</v>
      </c>
      <c r="AS3">
        <v>17581426809.23436</v>
      </c>
      <c r="AT3">
        <v>26000500108.272369</v>
      </c>
    </row>
    <row r="4" spans="1:46" x14ac:dyDescent="0.25">
      <c r="A4">
        <v>2</v>
      </c>
      <c r="B4">
        <v>2025</v>
      </c>
      <c r="C4">
        <v>12199912</v>
      </c>
      <c r="D4">
        <v>11193705</v>
      </c>
      <c r="E4">
        <v>9861728</v>
      </c>
      <c r="F4">
        <v>708297</v>
      </c>
      <c r="G4">
        <v>517058</v>
      </c>
      <c r="H4">
        <v>103161</v>
      </c>
      <c r="I4">
        <v>9.2159834478396565</v>
      </c>
      <c r="J4">
        <v>15795940.266230689</v>
      </c>
      <c r="K4">
        <v>1199842.2992071889</v>
      </c>
      <c r="L4">
        <v>16995782.565437879</v>
      </c>
      <c r="M4">
        <v>19333484763.719971</v>
      </c>
      <c r="N4">
        <v>33690358066.698879</v>
      </c>
      <c r="O4">
        <v>19333484763.719971</v>
      </c>
      <c r="P4">
        <v>53023842830.418854</v>
      </c>
      <c r="Q4">
        <v>840022</v>
      </c>
      <c r="R4">
        <v>7.504414311436651E-2</v>
      </c>
      <c r="S4">
        <v>82.013937655137426</v>
      </c>
      <c r="T4">
        <v>88.29771839308971</v>
      </c>
      <c r="U4">
        <v>10353683</v>
      </c>
      <c r="V4">
        <v>302751</v>
      </c>
      <c r="W4">
        <v>306866</v>
      </c>
      <c r="X4">
        <v>262942</v>
      </c>
      <c r="Y4">
        <v>973670</v>
      </c>
      <c r="Z4">
        <v>11015182</v>
      </c>
      <c r="AA4">
        <v>178523</v>
      </c>
      <c r="AB4">
        <v>0</v>
      </c>
      <c r="AC4">
        <v>140890</v>
      </c>
      <c r="AD4">
        <v>699132</v>
      </c>
      <c r="AE4">
        <v>9.4894049825325927E-2</v>
      </c>
      <c r="AF4">
        <v>0.1150541295347027</v>
      </c>
      <c r="AG4">
        <v>1.798877136747842E-2</v>
      </c>
      <c r="AH4">
        <v>2.3257724202461361E-2</v>
      </c>
      <c r="AI4">
        <v>0.11614876397046379</v>
      </c>
      <c r="AJ4">
        <v>0.12504315363169061</v>
      </c>
      <c r="AK4">
        <v>0.49997083182020607</v>
      </c>
      <c r="AL4">
        <v>0.5218899028834959</v>
      </c>
      <c r="AM4">
        <v>0.10417623119422929</v>
      </c>
      <c r="AN4">
        <v>0.1112768475111366</v>
      </c>
      <c r="AO4">
        <v>7817465.7333248658</v>
      </c>
      <c r="AP4">
        <v>564434.03919199866</v>
      </c>
      <c r="AQ4">
        <v>8381899.7725168644</v>
      </c>
      <c r="AR4">
        <v>10914411464.681959</v>
      </c>
      <c r="AS4">
        <v>16108931257.464531</v>
      </c>
      <c r="AT4">
        <v>27023342722.146481</v>
      </c>
    </row>
    <row r="5" spans="1:46" x14ac:dyDescent="0.25">
      <c r="A5">
        <v>3</v>
      </c>
      <c r="B5">
        <v>2026</v>
      </c>
      <c r="C5">
        <v>12912394</v>
      </c>
      <c r="D5">
        <v>11366733</v>
      </c>
      <c r="E5">
        <v>9401519</v>
      </c>
      <c r="F5">
        <v>712482</v>
      </c>
      <c r="G5">
        <v>543198</v>
      </c>
      <c r="H5">
        <v>106448</v>
      </c>
      <c r="I5">
        <v>9.3648720349109986</v>
      </c>
      <c r="J5">
        <v>23448978.327926621</v>
      </c>
      <c r="K5">
        <v>1701303.121780653</v>
      </c>
      <c r="L5">
        <v>25150281.44970727</v>
      </c>
      <c r="M5">
        <v>32252806429.48436</v>
      </c>
      <c r="N5">
        <v>48044976528.400864</v>
      </c>
      <c r="O5">
        <v>32252806429.48436</v>
      </c>
      <c r="P5">
        <v>80297782957.885223</v>
      </c>
      <c r="Q5">
        <v>839514</v>
      </c>
      <c r="R5">
        <v>7.385710564328378E-2</v>
      </c>
      <c r="S5">
        <v>82.482077743886478</v>
      </c>
      <c r="T5">
        <v>88.575960615308375</v>
      </c>
      <c r="U5">
        <v>10527219</v>
      </c>
      <c r="V5">
        <v>286033</v>
      </c>
      <c r="W5">
        <v>291594</v>
      </c>
      <c r="X5">
        <v>309128</v>
      </c>
      <c r="Y5">
        <v>1498420</v>
      </c>
      <c r="Z5">
        <v>11130360</v>
      </c>
      <c r="AA5">
        <v>236373</v>
      </c>
      <c r="AB5">
        <v>0</v>
      </c>
      <c r="AC5">
        <v>150107</v>
      </c>
      <c r="AD5">
        <v>689407</v>
      </c>
      <c r="AE5">
        <v>9.4890501958654255E-2</v>
      </c>
      <c r="AF5">
        <v>0.1238633304507132</v>
      </c>
      <c r="AG5">
        <v>1.799215306632081E-2</v>
      </c>
      <c r="AH5">
        <v>2.5495703466529449E-2</v>
      </c>
      <c r="AI5">
        <v>0.11613424895262341</v>
      </c>
      <c r="AJ5">
        <v>0.1292867063562966</v>
      </c>
      <c r="AK5">
        <v>0.4999652934576716</v>
      </c>
      <c r="AL5">
        <v>0.53207331861052942</v>
      </c>
      <c r="AM5">
        <v>0.1042140252612602</v>
      </c>
      <c r="AN5">
        <v>0.11572647984429089</v>
      </c>
      <c r="AO5">
        <v>7653038.0616959222</v>
      </c>
      <c r="AP5">
        <v>501460.82257346442</v>
      </c>
      <c r="AQ5">
        <v>8154498.8842693875</v>
      </c>
      <c r="AR5">
        <v>12919321665.764391</v>
      </c>
      <c r="AS5">
        <v>14354618461.701969</v>
      </c>
      <c r="AT5">
        <v>27273940127.46637</v>
      </c>
    </row>
    <row r="6" spans="1:46" x14ac:dyDescent="0.25">
      <c r="A6">
        <v>4</v>
      </c>
      <c r="B6">
        <v>2027</v>
      </c>
      <c r="C6">
        <v>13629086</v>
      </c>
      <c r="D6">
        <v>11525000</v>
      </c>
      <c r="E6">
        <v>8948706</v>
      </c>
      <c r="F6">
        <v>716692</v>
      </c>
      <c r="G6">
        <v>562724</v>
      </c>
      <c r="H6">
        <v>110430</v>
      </c>
      <c r="I6">
        <v>9.5817787418655094</v>
      </c>
      <c r="J6">
        <v>30933944.452037051</v>
      </c>
      <c r="K6">
        <v>2152619.3921251479</v>
      </c>
      <c r="L6">
        <v>33086563.8441622</v>
      </c>
      <c r="M6">
        <v>46432683376.966347</v>
      </c>
      <c r="N6">
        <v>60818166051.30262</v>
      </c>
      <c r="O6">
        <v>46432683376.966347</v>
      </c>
      <c r="P6">
        <v>107250849428.269</v>
      </c>
      <c r="Q6">
        <v>834254</v>
      </c>
      <c r="R6">
        <v>7.2386464208242948E-2</v>
      </c>
      <c r="S6">
        <v>82.928479652928416</v>
      </c>
      <c r="T6">
        <v>88.806823821042514</v>
      </c>
      <c r="U6">
        <v>10690746</v>
      </c>
      <c r="V6">
        <v>279925</v>
      </c>
      <c r="W6">
        <v>280461</v>
      </c>
      <c r="X6">
        <v>334918</v>
      </c>
      <c r="Y6">
        <v>2043036</v>
      </c>
      <c r="Z6">
        <v>11250866</v>
      </c>
      <c r="AA6">
        <v>274134</v>
      </c>
      <c r="AB6">
        <v>0</v>
      </c>
      <c r="AC6">
        <v>155416</v>
      </c>
      <c r="AD6">
        <v>678838</v>
      </c>
      <c r="AE6">
        <v>9.4907505422993491E-2</v>
      </c>
      <c r="AF6">
        <v>0.1326250758162382</v>
      </c>
      <c r="AG6">
        <v>1.79790021691974E-2</v>
      </c>
      <c r="AH6">
        <v>2.765704449723945E-2</v>
      </c>
      <c r="AI6">
        <v>0.1161479392624729</v>
      </c>
      <c r="AJ6">
        <v>0.13345935410558421</v>
      </c>
      <c r="AK6">
        <v>0.50002906724511931</v>
      </c>
      <c r="AL6">
        <v>0.54178104030666918</v>
      </c>
      <c r="AM6">
        <v>0.10417058568329721</v>
      </c>
      <c r="AN6">
        <v>0.1194935834889614</v>
      </c>
      <c r="AO6">
        <v>7484966.1241104342</v>
      </c>
      <c r="AP6">
        <v>451316.27034449438</v>
      </c>
      <c r="AQ6">
        <v>7936282.3944549281</v>
      </c>
      <c r="AR6">
        <v>14179876947.481991</v>
      </c>
      <c r="AS6">
        <v>12773189522.90176</v>
      </c>
      <c r="AT6">
        <v>26953066470.383759</v>
      </c>
    </row>
    <row r="7" spans="1:46" x14ac:dyDescent="0.25">
      <c r="A7">
        <v>5</v>
      </c>
      <c r="B7">
        <v>2028</v>
      </c>
      <c r="C7">
        <v>14350013</v>
      </c>
      <c r="D7">
        <v>11675527</v>
      </c>
      <c r="E7">
        <v>8509288</v>
      </c>
      <c r="F7">
        <v>720927</v>
      </c>
      <c r="G7">
        <v>575162</v>
      </c>
      <c r="H7">
        <v>114157</v>
      </c>
      <c r="I7">
        <v>9.7774601523340241</v>
      </c>
      <c r="J7">
        <v>38249032.902177177</v>
      </c>
      <c r="K7">
        <v>2566012.3794303979</v>
      </c>
      <c r="L7">
        <v>40815045.281607583</v>
      </c>
      <c r="M7">
        <v>61233056545.927544</v>
      </c>
      <c r="N7">
        <v>72310320938.00116</v>
      </c>
      <c r="O7">
        <v>61233056545.927544</v>
      </c>
      <c r="P7">
        <v>133543377483.9287</v>
      </c>
      <c r="Q7">
        <v>829460</v>
      </c>
      <c r="R7">
        <v>7.1042617605183905E-2</v>
      </c>
      <c r="S7">
        <v>83.363694760844623</v>
      </c>
      <c r="T7">
        <v>89.011913775227256</v>
      </c>
      <c r="U7">
        <v>10846067</v>
      </c>
      <c r="V7">
        <v>280248</v>
      </c>
      <c r="W7">
        <v>274760</v>
      </c>
      <c r="X7">
        <v>348830</v>
      </c>
      <c r="Y7">
        <v>2600108</v>
      </c>
      <c r="Z7">
        <v>11377906</v>
      </c>
      <c r="AA7">
        <v>297621</v>
      </c>
      <c r="AB7">
        <v>0</v>
      </c>
      <c r="AC7">
        <v>156699</v>
      </c>
      <c r="AD7">
        <v>672761</v>
      </c>
      <c r="AE7">
        <v>9.4841628990280272E-2</v>
      </c>
      <c r="AF7">
        <v>0.14077833771369319</v>
      </c>
      <c r="AG7">
        <v>1.796989549165532E-2</v>
      </c>
      <c r="AH7">
        <v>2.9672316929086399E-2</v>
      </c>
      <c r="AI7">
        <v>0.1160659386081673</v>
      </c>
      <c r="AJ7">
        <v>0.1373869746582114</v>
      </c>
      <c r="AK7">
        <v>0.49995267879556959</v>
      </c>
      <c r="AL7">
        <v>0.55133219202854866</v>
      </c>
      <c r="AM7">
        <v>0.1041242934901354</v>
      </c>
      <c r="AN7">
        <v>0.1230282352373834</v>
      </c>
      <c r="AO7">
        <v>7315088.4501401344</v>
      </c>
      <c r="AP7">
        <v>413392.98730525048</v>
      </c>
      <c r="AQ7">
        <v>7728481.4374453845</v>
      </c>
      <c r="AR7">
        <v>14800373168.961189</v>
      </c>
      <c r="AS7">
        <v>11492154886.69854</v>
      </c>
      <c r="AT7">
        <v>26292528055.659729</v>
      </c>
    </row>
    <row r="8" spans="1:46" x14ac:dyDescent="0.25">
      <c r="A8">
        <v>6</v>
      </c>
      <c r="B8">
        <v>2029</v>
      </c>
      <c r="C8">
        <v>15075200</v>
      </c>
      <c r="D8">
        <v>11821575</v>
      </c>
      <c r="E8">
        <v>8085810</v>
      </c>
      <c r="F8">
        <v>725187</v>
      </c>
      <c r="G8">
        <v>584097</v>
      </c>
      <c r="H8">
        <v>117661</v>
      </c>
      <c r="I8">
        <v>9.9530730888227659</v>
      </c>
      <c r="J8">
        <v>45395102.719566748</v>
      </c>
      <c r="K8">
        <v>2951827.6531008501</v>
      </c>
      <c r="L8">
        <v>48346930.372667603</v>
      </c>
      <c r="M8">
        <v>76215411859.743607</v>
      </c>
      <c r="N8">
        <v>82838840450.39624</v>
      </c>
      <c r="O8">
        <v>76215411859.743607</v>
      </c>
      <c r="P8">
        <v>159054252310.1398</v>
      </c>
      <c r="Q8">
        <v>827036</v>
      </c>
      <c r="R8">
        <v>6.9959882672148171E-2</v>
      </c>
      <c r="S8">
        <v>83.786842108602286</v>
      </c>
      <c r="T8">
        <v>89.202899269197474</v>
      </c>
      <c r="U8">
        <v>10994539</v>
      </c>
      <c r="V8">
        <v>284269</v>
      </c>
      <c r="W8">
        <v>274061</v>
      </c>
      <c r="X8">
        <v>355968</v>
      </c>
      <c r="Y8">
        <v>3166363</v>
      </c>
      <c r="Z8">
        <v>11510078</v>
      </c>
      <c r="AA8">
        <v>311497</v>
      </c>
      <c r="AB8">
        <v>0</v>
      </c>
      <c r="AC8">
        <v>154689</v>
      </c>
      <c r="AD8">
        <v>672347</v>
      </c>
      <c r="AE8">
        <v>9.476292287618189E-2</v>
      </c>
      <c r="AF8">
        <v>0.14754013126393531</v>
      </c>
      <c r="AG8">
        <v>1.7965457225454309E-2</v>
      </c>
      <c r="AH8">
        <v>3.1302144042097323E-2</v>
      </c>
      <c r="AI8">
        <v>0.1160400369663095</v>
      </c>
      <c r="AJ8">
        <v>0.14088141265918289</v>
      </c>
      <c r="AK8">
        <v>0.49990149366729902</v>
      </c>
      <c r="AL8">
        <v>0.55893818406937545</v>
      </c>
      <c r="AM8">
        <v>0.1040484876169208</v>
      </c>
      <c r="AN8">
        <v>0.12590866661185249</v>
      </c>
      <c r="AO8">
        <v>7146069.8173895702</v>
      </c>
      <c r="AP8">
        <v>385815.27367045172</v>
      </c>
      <c r="AQ8">
        <v>7531885.0910600219</v>
      </c>
      <c r="AR8">
        <v>14982355313.816059</v>
      </c>
      <c r="AS8">
        <v>10528519512.395081</v>
      </c>
      <c r="AT8">
        <v>25510874826.211121</v>
      </c>
    </row>
    <row r="9" spans="1:46" x14ac:dyDescent="0.25">
      <c r="A9">
        <v>7</v>
      </c>
      <c r="B9">
        <v>2030</v>
      </c>
      <c r="C9">
        <v>15804672</v>
      </c>
      <c r="D9">
        <v>11962164</v>
      </c>
      <c r="E9">
        <v>7679010</v>
      </c>
      <c r="F9">
        <v>729472</v>
      </c>
      <c r="G9">
        <v>593814</v>
      </c>
      <c r="H9">
        <v>121290</v>
      </c>
      <c r="I9">
        <v>10.139469748115809</v>
      </c>
      <c r="J9">
        <v>52372599.456572063</v>
      </c>
      <c r="K9">
        <v>3318424.2317019482</v>
      </c>
      <c r="L9">
        <v>55691023.688274004</v>
      </c>
      <c r="M9">
        <v>91070446894.632645</v>
      </c>
      <c r="N9">
        <v>92694155715.852921</v>
      </c>
      <c r="O9">
        <v>91070446894.632645</v>
      </c>
      <c r="P9">
        <v>183764602610.4856</v>
      </c>
      <c r="Q9">
        <v>828032</v>
      </c>
      <c r="R9">
        <v>6.9220920228146007E-2</v>
      </c>
      <c r="S9">
        <v>84.200196469468239</v>
      </c>
      <c r="T9">
        <v>89.400728474261868</v>
      </c>
      <c r="U9">
        <v>11134132</v>
      </c>
      <c r="V9">
        <v>290026</v>
      </c>
      <c r="W9">
        <v>278459</v>
      </c>
      <c r="X9">
        <v>359425</v>
      </c>
      <c r="Y9">
        <v>3742630</v>
      </c>
      <c r="Z9">
        <v>11642948</v>
      </c>
      <c r="AA9">
        <v>319216</v>
      </c>
      <c r="AB9">
        <v>0</v>
      </c>
      <c r="AC9">
        <v>149811</v>
      </c>
      <c r="AD9">
        <v>678221</v>
      </c>
      <c r="AE9">
        <v>9.4658207327704247E-2</v>
      </c>
      <c r="AF9">
        <v>0.15296872584634411</v>
      </c>
      <c r="AG9">
        <v>1.7930702170610598E-2</v>
      </c>
      <c r="AH9">
        <v>3.2689557891482451E-2</v>
      </c>
      <c r="AI9">
        <v>0.115987792844171</v>
      </c>
      <c r="AJ9">
        <v>0.1437553138042974</v>
      </c>
      <c r="AK9">
        <v>0.49973775647951318</v>
      </c>
      <c r="AL9">
        <v>0.56590808084711697</v>
      </c>
      <c r="AM9">
        <v>0.1039988249617711</v>
      </c>
      <c r="AN9">
        <v>0.12873053215334671</v>
      </c>
      <c r="AO9">
        <v>6977496.7370053008</v>
      </c>
      <c r="AP9">
        <v>366596.57860109769</v>
      </c>
      <c r="AQ9">
        <v>7344093.3156063994</v>
      </c>
      <c r="AR9">
        <v>14855035034.88904</v>
      </c>
      <c r="AS9">
        <v>9855315265.4566803</v>
      </c>
      <c r="AT9">
        <v>24710350300.34573</v>
      </c>
    </row>
    <row r="10" spans="1:46" x14ac:dyDescent="0.25">
      <c r="A10">
        <v>8</v>
      </c>
      <c r="B10">
        <v>2031</v>
      </c>
      <c r="C10">
        <v>16538454</v>
      </c>
      <c r="D10">
        <v>12101044</v>
      </c>
      <c r="E10">
        <v>7290645</v>
      </c>
      <c r="F10">
        <v>733782</v>
      </c>
      <c r="G10">
        <v>599759</v>
      </c>
      <c r="H10">
        <v>124237</v>
      </c>
      <c r="I10">
        <v>10.26663484572075</v>
      </c>
      <c r="J10">
        <v>59181720.846678853</v>
      </c>
      <c r="K10">
        <v>3671666.2798149488</v>
      </c>
      <c r="L10">
        <v>62853387.126493797</v>
      </c>
      <c r="M10">
        <v>105633787022.43159</v>
      </c>
      <c r="N10">
        <v>102077410328.80791</v>
      </c>
      <c r="O10">
        <v>105633787022.43159</v>
      </c>
      <c r="P10">
        <v>207711197351.23941</v>
      </c>
      <c r="Q10">
        <v>832790</v>
      </c>
      <c r="R10">
        <v>6.8819682004296487E-2</v>
      </c>
      <c r="S10">
        <v>84.612950254540024</v>
      </c>
      <c r="T10">
        <v>89.603417428163169</v>
      </c>
      <c r="U10">
        <v>11268254</v>
      </c>
      <c r="V10">
        <v>296547</v>
      </c>
      <c r="W10">
        <v>285881</v>
      </c>
      <c r="X10">
        <v>362852</v>
      </c>
      <c r="Y10">
        <v>4324920</v>
      </c>
      <c r="Z10">
        <v>11777322</v>
      </c>
      <c r="AA10">
        <v>323722</v>
      </c>
      <c r="AB10">
        <v>0</v>
      </c>
      <c r="AC10">
        <v>143104</v>
      </c>
      <c r="AD10">
        <v>689686</v>
      </c>
      <c r="AE10">
        <v>9.454638789843256E-2</v>
      </c>
      <c r="AF10">
        <v>0.1578441143625644</v>
      </c>
      <c r="AG10">
        <v>1.790655417830065E-2</v>
      </c>
      <c r="AH10">
        <v>3.3937727398263673E-2</v>
      </c>
      <c r="AI10">
        <v>0.1158811586834987</v>
      </c>
      <c r="AJ10">
        <v>0.14603321365530331</v>
      </c>
      <c r="AK10">
        <v>0.49952855307360261</v>
      </c>
      <c r="AL10">
        <v>0.57117280466864395</v>
      </c>
      <c r="AM10">
        <v>0.1039658231141049</v>
      </c>
      <c r="AN10">
        <v>0.13063797596032611</v>
      </c>
      <c r="AO10">
        <v>6809121.3901067898</v>
      </c>
      <c r="AP10">
        <v>353242.04811300099</v>
      </c>
      <c r="AQ10">
        <v>7162363.4382197913</v>
      </c>
      <c r="AR10">
        <v>14563340127.79892</v>
      </c>
      <c r="AS10">
        <v>9383254612.9549713</v>
      </c>
      <c r="AT10">
        <v>23946594740.75388</v>
      </c>
    </row>
    <row r="11" spans="1:46" x14ac:dyDescent="0.25">
      <c r="A11">
        <v>9</v>
      </c>
      <c r="B11">
        <v>2032</v>
      </c>
      <c r="C11">
        <v>17276572</v>
      </c>
      <c r="D11">
        <v>12242273</v>
      </c>
      <c r="E11">
        <v>6922866</v>
      </c>
      <c r="F11">
        <v>738118</v>
      </c>
      <c r="G11">
        <v>601514</v>
      </c>
      <c r="H11">
        <v>128443</v>
      </c>
      <c r="I11">
        <v>10.491760802916261</v>
      </c>
      <c r="J11">
        <v>65825630.731907792</v>
      </c>
      <c r="K11">
        <v>4015980.7539911051</v>
      </c>
      <c r="L11">
        <v>69841611.485898897</v>
      </c>
      <c r="M11">
        <v>119880498404.65359</v>
      </c>
      <c r="N11">
        <v>111141490824.4444</v>
      </c>
      <c r="O11">
        <v>119880498404.65359</v>
      </c>
      <c r="P11">
        <v>231021989229.09799</v>
      </c>
      <c r="Q11">
        <v>843482</v>
      </c>
      <c r="R11">
        <v>6.8899133355382614E-2</v>
      </c>
      <c r="S11">
        <v>85.029413410401816</v>
      </c>
      <c r="T11">
        <v>89.852904981967612</v>
      </c>
      <c r="U11">
        <v>11398791</v>
      </c>
      <c r="V11">
        <v>304872</v>
      </c>
      <c r="W11">
        <v>295432</v>
      </c>
      <c r="X11">
        <v>368222</v>
      </c>
      <c r="Y11">
        <v>4909255</v>
      </c>
      <c r="Z11">
        <v>11913749</v>
      </c>
      <c r="AA11">
        <v>328524</v>
      </c>
      <c r="AB11">
        <v>0</v>
      </c>
      <c r="AC11">
        <v>134561</v>
      </c>
      <c r="AD11">
        <v>708921</v>
      </c>
      <c r="AE11">
        <v>9.4342529365257582E-2</v>
      </c>
      <c r="AF11">
        <v>0.16088902904863411</v>
      </c>
      <c r="AG11">
        <v>1.7864819711176181E-2</v>
      </c>
      <c r="AH11">
        <v>3.480927868051719E-2</v>
      </c>
      <c r="AI11">
        <v>0.1157963067806117</v>
      </c>
      <c r="AJ11">
        <v>0.1476901700332669</v>
      </c>
      <c r="AK11">
        <v>0.49937964951443248</v>
      </c>
      <c r="AL11">
        <v>0.57536378962443779</v>
      </c>
      <c r="AM11">
        <v>0.1039064395966337</v>
      </c>
      <c r="AN11">
        <v>0.13229209396288241</v>
      </c>
      <c r="AO11">
        <v>6643909.8852289468</v>
      </c>
      <c r="AP11">
        <v>344314.47417615593</v>
      </c>
      <c r="AQ11">
        <v>6988224.3594051022</v>
      </c>
      <c r="AR11">
        <v>14246711382.22208</v>
      </c>
      <c r="AS11">
        <v>9064080495.6365051</v>
      </c>
      <c r="AT11">
        <v>23310791877.858582</v>
      </c>
    </row>
    <row r="12" spans="1:46" x14ac:dyDescent="0.25">
      <c r="A12">
        <v>10</v>
      </c>
      <c r="B12">
        <v>2033</v>
      </c>
      <c r="C12">
        <v>18019051</v>
      </c>
      <c r="D12">
        <v>12381253</v>
      </c>
      <c r="E12">
        <v>6571698</v>
      </c>
      <c r="F12">
        <v>742479</v>
      </c>
      <c r="G12">
        <v>608195</v>
      </c>
      <c r="H12">
        <v>132729</v>
      </c>
      <c r="I12">
        <v>10.72015893706396</v>
      </c>
      <c r="J12">
        <v>72306484.375234932</v>
      </c>
      <c r="K12">
        <v>4354234.4046077188</v>
      </c>
      <c r="L12">
        <v>76660718.779842645</v>
      </c>
      <c r="M12">
        <v>133842071806.2878</v>
      </c>
      <c r="N12">
        <v>119989663852.871</v>
      </c>
      <c r="O12">
        <v>133842071806.2878</v>
      </c>
      <c r="P12">
        <v>253831735659.15881</v>
      </c>
      <c r="Q12">
        <v>858485</v>
      </c>
      <c r="R12">
        <v>6.9337489509341266E-2</v>
      </c>
      <c r="S12">
        <v>85.442475733271905</v>
      </c>
      <c r="T12">
        <v>90.122725498989496</v>
      </c>
      <c r="U12">
        <v>11522768</v>
      </c>
      <c r="V12">
        <v>314130</v>
      </c>
      <c r="W12">
        <v>307310</v>
      </c>
      <c r="X12">
        <v>374682</v>
      </c>
      <c r="Y12">
        <v>5500161</v>
      </c>
      <c r="Z12">
        <v>12047786</v>
      </c>
      <c r="AA12">
        <v>333467</v>
      </c>
      <c r="AB12">
        <v>0</v>
      </c>
      <c r="AC12">
        <v>124883</v>
      </c>
      <c r="AD12">
        <v>733602</v>
      </c>
      <c r="AE12">
        <v>9.4126579918849887E-2</v>
      </c>
      <c r="AF12">
        <v>0.16307914523841421</v>
      </c>
      <c r="AG12">
        <v>1.7811525214774301E-2</v>
      </c>
      <c r="AH12">
        <v>3.5591769221360883E-2</v>
      </c>
      <c r="AI12">
        <v>0.1157096135584985</v>
      </c>
      <c r="AJ12">
        <v>0.14896358119244951</v>
      </c>
      <c r="AK12">
        <v>0.49908543182180348</v>
      </c>
      <c r="AL12">
        <v>0.57837702464224772</v>
      </c>
      <c r="AM12">
        <v>0.1038028218953284</v>
      </c>
      <c r="AN12">
        <v>0.13373093298077429</v>
      </c>
      <c r="AO12">
        <v>6480853.6433271393</v>
      </c>
      <c r="AP12">
        <v>338253.65061661409</v>
      </c>
      <c r="AQ12">
        <v>6819107.2939437525</v>
      </c>
      <c r="AR12">
        <v>13961573401.634109</v>
      </c>
      <c r="AS12">
        <v>8848173028.4266052</v>
      </c>
      <c r="AT12">
        <v>22809746430.06073</v>
      </c>
    </row>
    <row r="13" spans="1:46" x14ac:dyDescent="0.25">
      <c r="A13">
        <v>11</v>
      </c>
      <c r="B13">
        <v>2034</v>
      </c>
      <c r="C13">
        <v>18765918</v>
      </c>
      <c r="D13">
        <v>12521219</v>
      </c>
      <c r="E13">
        <v>6238261</v>
      </c>
      <c r="F13">
        <v>746867</v>
      </c>
      <c r="G13">
        <v>611326</v>
      </c>
      <c r="H13">
        <v>135796</v>
      </c>
      <c r="I13">
        <v>10.8452699373759</v>
      </c>
      <c r="J13">
        <v>78637837.136993676</v>
      </c>
      <c r="K13">
        <v>4688605.7889765073</v>
      </c>
      <c r="L13">
        <v>83326442.925970182</v>
      </c>
      <c r="M13">
        <v>147525744494.6069</v>
      </c>
      <c r="N13">
        <v>128714280649.4632</v>
      </c>
      <c r="O13">
        <v>147525744494.6069</v>
      </c>
      <c r="P13">
        <v>276240025144.07019</v>
      </c>
      <c r="Q13">
        <v>876577</v>
      </c>
      <c r="R13">
        <v>7.0007321172163822E-2</v>
      </c>
      <c r="S13">
        <v>85.853938981500121</v>
      </c>
      <c r="T13">
        <v>90.422366774396323</v>
      </c>
      <c r="U13">
        <v>11644642</v>
      </c>
      <c r="V13">
        <v>323203</v>
      </c>
      <c r="W13">
        <v>320362</v>
      </c>
      <c r="X13">
        <v>383140</v>
      </c>
      <c r="Y13">
        <v>6094571</v>
      </c>
      <c r="Z13">
        <v>12182597</v>
      </c>
      <c r="AA13">
        <v>338622</v>
      </c>
      <c r="AB13">
        <v>0</v>
      </c>
      <c r="AC13">
        <v>113512</v>
      </c>
      <c r="AD13">
        <v>763065</v>
      </c>
      <c r="AE13">
        <v>9.3868017163504611E-2</v>
      </c>
      <c r="AF13">
        <v>0.1647054394536932</v>
      </c>
      <c r="AG13">
        <v>1.773373662740026E-2</v>
      </c>
      <c r="AH13">
        <v>3.5952346456728852E-2</v>
      </c>
      <c r="AI13">
        <v>0.1155476156115471</v>
      </c>
      <c r="AJ13">
        <v>0.14962062659640851</v>
      </c>
      <c r="AK13">
        <v>0.49882331744217562</v>
      </c>
      <c r="AL13">
        <v>0.58070198054477817</v>
      </c>
      <c r="AM13">
        <v>0.1037024430289096</v>
      </c>
      <c r="AN13">
        <v>0.1343008087138951</v>
      </c>
      <c r="AO13">
        <v>6331352.7617587447</v>
      </c>
      <c r="AP13">
        <v>334371.38436878851</v>
      </c>
      <c r="AQ13">
        <v>6665724.1461275332</v>
      </c>
      <c r="AR13">
        <v>13683672688.31918</v>
      </c>
      <c r="AS13">
        <v>8724616796.5922241</v>
      </c>
      <c r="AT13">
        <v>22408289484.911442</v>
      </c>
    </row>
    <row r="14" spans="1:46" x14ac:dyDescent="0.25">
      <c r="A14">
        <v>12</v>
      </c>
      <c r="B14">
        <v>2035</v>
      </c>
      <c r="C14">
        <v>19517198</v>
      </c>
      <c r="D14">
        <v>12657961</v>
      </c>
      <c r="E14">
        <v>5918453</v>
      </c>
      <c r="F14">
        <v>751280</v>
      </c>
      <c r="G14">
        <v>619164</v>
      </c>
      <c r="H14">
        <v>140138</v>
      </c>
      <c r="I14">
        <v>11.071135390605169</v>
      </c>
      <c r="J14">
        <v>84820571.368949845</v>
      </c>
      <c r="K14">
        <v>5019896.8532690695</v>
      </c>
      <c r="L14">
        <v>89840468.222218916</v>
      </c>
      <c r="M14">
        <v>160999464120.51611</v>
      </c>
      <c r="N14">
        <v>137332174913.5529</v>
      </c>
      <c r="O14">
        <v>160999464120.51611</v>
      </c>
      <c r="P14">
        <v>298331639034.06909</v>
      </c>
      <c r="Q14">
        <v>897530</v>
      </c>
      <c r="R14">
        <v>7.0906364777075861E-2</v>
      </c>
      <c r="S14">
        <v>86.260521896062087</v>
      </c>
      <c r="T14">
        <v>90.753607121767516</v>
      </c>
      <c r="U14">
        <v>11760431</v>
      </c>
      <c r="V14">
        <v>333498</v>
      </c>
      <c r="W14">
        <v>333130</v>
      </c>
      <c r="X14">
        <v>393940</v>
      </c>
      <c r="Y14">
        <v>6696199</v>
      </c>
      <c r="Z14">
        <v>12312541</v>
      </c>
      <c r="AA14">
        <v>345420</v>
      </c>
      <c r="AB14">
        <v>0</v>
      </c>
      <c r="AC14">
        <v>100804</v>
      </c>
      <c r="AD14">
        <v>796726</v>
      </c>
      <c r="AE14">
        <v>9.3640121027391374E-2</v>
      </c>
      <c r="AF14">
        <v>0.1659186879547202</v>
      </c>
      <c r="AG14">
        <v>1.7690289929001991E-2</v>
      </c>
      <c r="AH14">
        <v>3.6201575434804407E-2</v>
      </c>
      <c r="AI14">
        <v>0.1154046848461612</v>
      </c>
      <c r="AJ14">
        <v>0.1500640647109289</v>
      </c>
      <c r="AK14">
        <v>0.49858820073785981</v>
      </c>
      <c r="AL14">
        <v>0.58242064332111465</v>
      </c>
      <c r="AM14">
        <v>0.1036169253484033</v>
      </c>
      <c r="AN14">
        <v>0.1352623310641427</v>
      </c>
      <c r="AO14">
        <v>6182734.231956169</v>
      </c>
      <c r="AP14">
        <v>331291.06429256219</v>
      </c>
      <c r="AQ14">
        <v>6514025.2962487312</v>
      </c>
      <c r="AR14">
        <v>13473719625.90921</v>
      </c>
      <c r="AS14">
        <v>8617894264.0897064</v>
      </c>
      <c r="AT14">
        <v>22091613889.998901</v>
      </c>
    </row>
    <row r="15" spans="1:46" x14ac:dyDescent="0.25">
      <c r="A15">
        <v>13</v>
      </c>
      <c r="B15">
        <v>2036</v>
      </c>
      <c r="C15">
        <v>20272917</v>
      </c>
      <c r="D15">
        <v>12792838</v>
      </c>
      <c r="E15">
        <v>5612092</v>
      </c>
      <c r="F15">
        <v>755719</v>
      </c>
      <c r="G15">
        <v>625337</v>
      </c>
      <c r="H15">
        <v>143483</v>
      </c>
      <c r="I15">
        <v>11.21588501316127</v>
      </c>
      <c r="J15">
        <v>90856185.945015416</v>
      </c>
      <c r="K15">
        <v>5348994.5531383445</v>
      </c>
      <c r="L15">
        <v>96205180.498153761</v>
      </c>
      <c r="M15">
        <v>174275583641.3642</v>
      </c>
      <c r="N15">
        <v>145897662525.15021</v>
      </c>
      <c r="O15">
        <v>174275583641.3642</v>
      </c>
      <c r="P15">
        <v>320173246166.5144</v>
      </c>
      <c r="Q15">
        <v>921293</v>
      </c>
      <c r="R15">
        <v>7.2016311001515065E-2</v>
      </c>
      <c r="S15">
        <v>86.65879173956553</v>
      </c>
      <c r="T15">
        <v>91.119972690555556</v>
      </c>
      <c r="U15">
        <v>11871545</v>
      </c>
      <c r="V15">
        <v>342384</v>
      </c>
      <c r="W15">
        <v>348716</v>
      </c>
      <c r="X15">
        <v>406282</v>
      </c>
      <c r="Y15">
        <v>7303990</v>
      </c>
      <c r="Z15">
        <v>12439991</v>
      </c>
      <c r="AA15">
        <v>352847</v>
      </c>
      <c r="AB15">
        <v>0</v>
      </c>
      <c r="AC15">
        <v>86583</v>
      </c>
      <c r="AD15">
        <v>834710</v>
      </c>
      <c r="AE15">
        <v>9.3439626140814108E-2</v>
      </c>
      <c r="AF15">
        <v>0.16648558059162499</v>
      </c>
      <c r="AG15">
        <v>1.7634867259321192E-2</v>
      </c>
      <c r="AH15">
        <v>3.6242541732109113E-2</v>
      </c>
      <c r="AI15">
        <v>0.1152947453880054</v>
      </c>
      <c r="AJ15">
        <v>0.15060572478028161</v>
      </c>
      <c r="AK15">
        <v>0.49837424659016238</v>
      </c>
      <c r="AL15">
        <v>0.5836785908500336</v>
      </c>
      <c r="AM15">
        <v>0.1034637505766899</v>
      </c>
      <c r="AN15">
        <v>0.13531959973645741</v>
      </c>
      <c r="AO15">
        <v>6035614.5760655701</v>
      </c>
      <c r="AP15">
        <v>329097.69986927509</v>
      </c>
      <c r="AQ15">
        <v>6364712.2759348452</v>
      </c>
      <c r="AR15">
        <v>13276119520.848049</v>
      </c>
      <c r="AS15">
        <v>8565487611.5972748</v>
      </c>
      <c r="AT15">
        <v>21841607132.445309</v>
      </c>
    </row>
    <row r="16" spans="1:46" x14ac:dyDescent="0.25">
      <c r="A16">
        <v>14</v>
      </c>
      <c r="B16">
        <v>2037</v>
      </c>
      <c r="C16">
        <v>21033101</v>
      </c>
      <c r="D16">
        <v>13009174</v>
      </c>
      <c r="E16">
        <v>5359222</v>
      </c>
      <c r="F16">
        <v>760184</v>
      </c>
      <c r="G16">
        <v>547205</v>
      </c>
      <c r="H16">
        <v>149086</v>
      </c>
      <c r="I16">
        <v>11.460066565333049</v>
      </c>
      <c r="J16">
        <v>96764423.761059105</v>
      </c>
      <c r="K16">
        <v>5678274.4304797277</v>
      </c>
      <c r="L16">
        <v>102442698.1915388</v>
      </c>
      <c r="M16">
        <v>187552244334.6326</v>
      </c>
      <c r="N16">
        <v>154472840283.7319</v>
      </c>
      <c r="O16">
        <v>187552244334.6326</v>
      </c>
      <c r="P16">
        <v>342025084618.3645</v>
      </c>
      <c r="Q16">
        <v>960151</v>
      </c>
      <c r="R16">
        <v>7.3805685126511492E-2</v>
      </c>
      <c r="S16">
        <v>87.158482852178011</v>
      </c>
      <c r="T16">
        <v>91.700954329058661</v>
      </c>
      <c r="U16">
        <v>12049023</v>
      </c>
      <c r="V16">
        <v>356907</v>
      </c>
      <c r="W16">
        <v>365716</v>
      </c>
      <c r="X16">
        <v>423738</v>
      </c>
      <c r="Y16">
        <v>7837717</v>
      </c>
      <c r="Z16">
        <v>12641431</v>
      </c>
      <c r="AA16">
        <v>367743</v>
      </c>
      <c r="AB16">
        <v>0</v>
      </c>
      <c r="AC16">
        <v>71086</v>
      </c>
      <c r="AD16">
        <v>889065</v>
      </c>
      <c r="AE16">
        <v>9.3153031852752533E-2</v>
      </c>
      <c r="AF16">
        <v>0.16643527945083639</v>
      </c>
      <c r="AG16">
        <v>1.7570984906497521E-2</v>
      </c>
      <c r="AH16">
        <v>3.6049538041412227E-2</v>
      </c>
      <c r="AI16">
        <v>0.1151863292780925</v>
      </c>
      <c r="AJ16">
        <v>0.15059089664021599</v>
      </c>
      <c r="AK16">
        <v>0.49809303803608129</v>
      </c>
      <c r="AL16">
        <v>0.58376963623430067</v>
      </c>
      <c r="AM16">
        <v>0.1032650497256782</v>
      </c>
      <c r="AN16">
        <v>0.13550681090786759</v>
      </c>
      <c r="AO16">
        <v>5908237.8160436898</v>
      </c>
      <c r="AP16">
        <v>329279.87734138308</v>
      </c>
      <c r="AQ16">
        <v>6237517.693385073</v>
      </c>
      <c r="AR16">
        <v>13276660693.26837</v>
      </c>
      <c r="AS16">
        <v>8575177758.5816956</v>
      </c>
      <c r="AT16">
        <v>21851838451.850101</v>
      </c>
    </row>
    <row r="17" spans="1:46" x14ac:dyDescent="0.25">
      <c r="A17">
        <v>15</v>
      </c>
      <c r="B17">
        <v>2038</v>
      </c>
      <c r="C17">
        <v>21797777</v>
      </c>
      <c r="D17">
        <v>13117404</v>
      </c>
      <c r="E17">
        <v>5065612</v>
      </c>
      <c r="F17">
        <v>764676</v>
      </c>
      <c r="G17">
        <v>661187</v>
      </c>
      <c r="H17">
        <v>153655</v>
      </c>
      <c r="I17">
        <v>11.71382691270315</v>
      </c>
      <c r="J17">
        <v>102540178.92674039</v>
      </c>
      <c r="K17">
        <v>6007013.0544239944</v>
      </c>
      <c r="L17">
        <v>108547191.9811644</v>
      </c>
      <c r="M17">
        <v>200757541713.39059</v>
      </c>
      <c r="N17">
        <v>163029504938.38199</v>
      </c>
      <c r="O17">
        <v>200757541713.39059</v>
      </c>
      <c r="P17">
        <v>363787046651.77258</v>
      </c>
      <c r="Q17">
        <v>984800</v>
      </c>
      <c r="R17">
        <v>7.5075830553057596E-2</v>
      </c>
      <c r="S17">
        <v>87.514394006618986</v>
      </c>
      <c r="T17">
        <v>92.062299959382614</v>
      </c>
      <c r="U17">
        <v>12132604</v>
      </c>
      <c r="V17">
        <v>366680</v>
      </c>
      <c r="W17">
        <v>381205</v>
      </c>
      <c r="X17">
        <v>437451</v>
      </c>
      <c r="Y17">
        <v>8479837</v>
      </c>
      <c r="Z17">
        <v>12740235</v>
      </c>
      <c r="AA17">
        <v>377169</v>
      </c>
      <c r="AB17">
        <v>0</v>
      </c>
      <c r="AC17">
        <v>54642</v>
      </c>
      <c r="AD17">
        <v>930158</v>
      </c>
      <c r="AE17">
        <v>9.2928219638580931E-2</v>
      </c>
      <c r="AF17">
        <v>0.16637185215272141</v>
      </c>
      <c r="AG17">
        <v>1.7502014880383349E-2</v>
      </c>
      <c r="AH17">
        <v>3.5811332250203089E-2</v>
      </c>
      <c r="AI17">
        <v>0.1150403692681875</v>
      </c>
      <c r="AJ17">
        <v>0.15069760357432979</v>
      </c>
      <c r="AK17">
        <v>0.49784492419384202</v>
      </c>
      <c r="AL17">
        <v>0.58429021121039804</v>
      </c>
      <c r="AM17">
        <v>0.1030748157181101</v>
      </c>
      <c r="AN17">
        <v>0.1354884240454915</v>
      </c>
      <c r="AO17">
        <v>5775755.1656813323</v>
      </c>
      <c r="AP17">
        <v>328738.6239442667</v>
      </c>
      <c r="AQ17">
        <v>6104493.789625599</v>
      </c>
      <c r="AR17">
        <v>13205297378.75803</v>
      </c>
      <c r="AS17">
        <v>8556664654.6501455</v>
      </c>
      <c r="AT17">
        <v>21761962033.408138</v>
      </c>
    </row>
    <row r="18" spans="1:46" x14ac:dyDescent="0.25">
      <c r="A18">
        <v>16</v>
      </c>
      <c r="B18">
        <v>2039</v>
      </c>
      <c r="C18">
        <v>22566972</v>
      </c>
      <c r="D18">
        <v>13218733</v>
      </c>
      <c r="E18">
        <v>4780221</v>
      </c>
      <c r="F18">
        <v>769195</v>
      </c>
      <c r="G18">
        <v>672674</v>
      </c>
      <c r="H18">
        <v>157049</v>
      </c>
      <c r="I18">
        <v>11.880790693026331</v>
      </c>
      <c r="J18">
        <v>108162768.0506995</v>
      </c>
      <c r="K18">
        <v>6332627.6882797219</v>
      </c>
      <c r="L18">
        <v>114495395.73897929</v>
      </c>
      <c r="M18">
        <v>213831106210.84219</v>
      </c>
      <c r="N18">
        <v>171506769360.92651</v>
      </c>
      <c r="O18">
        <v>213831106210.84219</v>
      </c>
      <c r="P18">
        <v>385337875571.7688</v>
      </c>
      <c r="Q18">
        <v>1010206</v>
      </c>
      <c r="R18">
        <v>7.6422301592747197E-2</v>
      </c>
      <c r="S18">
        <v>87.855357166227662</v>
      </c>
      <c r="T18">
        <v>92.427020825455401</v>
      </c>
      <c r="U18">
        <v>12208527</v>
      </c>
      <c r="V18">
        <v>375933</v>
      </c>
      <c r="W18">
        <v>396356</v>
      </c>
      <c r="X18">
        <v>453116</v>
      </c>
      <c r="Y18">
        <v>9133040</v>
      </c>
      <c r="Z18">
        <v>12831708</v>
      </c>
      <c r="AA18">
        <v>387025</v>
      </c>
      <c r="AB18">
        <v>0</v>
      </c>
      <c r="AC18">
        <v>54775</v>
      </c>
      <c r="AD18">
        <v>955431</v>
      </c>
      <c r="AE18">
        <v>9.2695116846675099E-2</v>
      </c>
      <c r="AF18">
        <v>0.16621956313860739</v>
      </c>
      <c r="AG18">
        <v>1.7413847454215169E-2</v>
      </c>
      <c r="AH18">
        <v>3.5736275571517102E-2</v>
      </c>
      <c r="AI18">
        <v>0.1149599587191904</v>
      </c>
      <c r="AJ18">
        <v>0.15075935007315339</v>
      </c>
      <c r="AK18">
        <v>0.49752657837933478</v>
      </c>
      <c r="AL18">
        <v>0.58430755707251791</v>
      </c>
      <c r="AM18">
        <v>0.1029798392932212</v>
      </c>
      <c r="AN18">
        <v>0.1352308341071029</v>
      </c>
      <c r="AO18">
        <v>5622589.1239590943</v>
      </c>
      <c r="AP18">
        <v>325614.6338557275</v>
      </c>
      <c r="AQ18">
        <v>5948203.7578148218</v>
      </c>
      <c r="AR18">
        <v>13073564497.45163</v>
      </c>
      <c r="AS18">
        <v>8477264422.5444946</v>
      </c>
      <c r="AT18">
        <v>21550828919.996151</v>
      </c>
    </row>
    <row r="19" spans="1:46" x14ac:dyDescent="0.25">
      <c r="A19">
        <v>17</v>
      </c>
      <c r="B19">
        <v>2040</v>
      </c>
      <c r="C19">
        <v>23340712</v>
      </c>
      <c r="D19">
        <v>13306219</v>
      </c>
      <c r="E19">
        <v>4499244</v>
      </c>
      <c r="F19">
        <v>773740</v>
      </c>
      <c r="G19">
        <v>691269</v>
      </c>
      <c r="H19">
        <v>159591</v>
      </c>
      <c r="I19">
        <v>11.99371511922357</v>
      </c>
      <c r="J19">
        <v>113631898.1303238</v>
      </c>
      <c r="K19">
        <v>6654336.3909157449</v>
      </c>
      <c r="L19">
        <v>120286234.5212395</v>
      </c>
      <c r="M19">
        <v>226765570813.81299</v>
      </c>
      <c r="N19">
        <v>179901584672.54959</v>
      </c>
      <c r="O19">
        <v>226765570813.81299</v>
      </c>
      <c r="P19">
        <v>406667155486.36249</v>
      </c>
      <c r="Q19">
        <v>1033451</v>
      </c>
      <c r="R19">
        <v>7.7666766194063097E-2</v>
      </c>
      <c r="S19">
        <v>88.177631527032588</v>
      </c>
      <c r="T19">
        <v>92.793336113661894</v>
      </c>
      <c r="U19">
        <v>12272768</v>
      </c>
      <c r="V19">
        <v>382830</v>
      </c>
      <c r="W19">
        <v>412669</v>
      </c>
      <c r="X19">
        <v>468553</v>
      </c>
      <c r="Y19">
        <v>9803892</v>
      </c>
      <c r="Z19">
        <v>12909231</v>
      </c>
      <c r="AA19">
        <v>396988</v>
      </c>
      <c r="AB19">
        <v>0</v>
      </c>
      <c r="AC19">
        <v>55027</v>
      </c>
      <c r="AD19">
        <v>978424</v>
      </c>
      <c r="AE19">
        <v>9.2467965543029162E-2</v>
      </c>
      <c r="AF19">
        <v>0.16566532907704379</v>
      </c>
      <c r="AG19">
        <v>1.7356245226386249E-2</v>
      </c>
      <c r="AH19">
        <v>3.5634974469036268E-2</v>
      </c>
      <c r="AI19">
        <v>0.11485268655205511</v>
      </c>
      <c r="AJ19">
        <v>0.1504725429652688</v>
      </c>
      <c r="AK19">
        <v>0.49716933112253747</v>
      </c>
      <c r="AL19">
        <v>0.5839328618386358</v>
      </c>
      <c r="AM19">
        <v>0.10288317064374181</v>
      </c>
      <c r="AN19">
        <v>0.1352284723707268</v>
      </c>
      <c r="AO19">
        <v>5469130.0796242515</v>
      </c>
      <c r="AP19">
        <v>321708.70263602311</v>
      </c>
      <c r="AQ19">
        <v>5790838.7822602736</v>
      </c>
      <c r="AR19">
        <v>12934464602.97073</v>
      </c>
      <c r="AS19">
        <v>8394815311.6230774</v>
      </c>
      <c r="AT19">
        <v>21329279914.59375</v>
      </c>
    </row>
    <row r="21" spans="1:46" x14ac:dyDescent="0.25">
      <c r="X21">
        <f>SUM(V19:X19)</f>
        <v>1264052</v>
      </c>
    </row>
    <row r="22" spans="1:46" x14ac:dyDescent="0.25">
      <c r="X22">
        <f>SUM(V5:X5)</f>
        <v>886755</v>
      </c>
    </row>
    <row r="23" spans="1:46" x14ac:dyDescent="0.25">
      <c r="D23" s="2"/>
      <c r="E23" s="2"/>
      <c r="F23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F32" sqref="F32"/>
    </sheetView>
  </sheetViews>
  <sheetFormatPr defaultRowHeight="15" x14ac:dyDescent="0.25"/>
  <cols>
    <col min="1" max="1" width="9.28515625" bestFit="1" customWidth="1"/>
    <col min="2" max="2" width="12.5703125" bestFit="1" customWidth="1"/>
    <col min="3" max="3" width="17" bestFit="1" customWidth="1"/>
    <col min="4" max="4" width="18.42578125" bestFit="1" customWidth="1"/>
    <col min="5" max="5" width="14.85546875" bestFit="1" customWidth="1"/>
    <col min="6" max="6" width="13.85546875" bestFit="1" customWidth="1"/>
    <col min="7" max="7" width="18" bestFit="1" customWidth="1"/>
    <col min="8" max="8" width="17.28515625" bestFit="1" customWidth="1"/>
  </cols>
  <sheetData>
    <row r="1" spans="1:8" x14ac:dyDescent="0.2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>
        <v>0</v>
      </c>
      <c r="B2">
        <v>2023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</v>
      </c>
      <c r="B3">
        <v>2024</v>
      </c>
      <c r="C3">
        <v>7978474.5329058291</v>
      </c>
      <c r="D3">
        <v>635408.26001519046</v>
      </c>
      <c r="E3">
        <v>8613882.7929210197</v>
      </c>
      <c r="F3">
        <v>8419073299.0380173</v>
      </c>
      <c r="G3">
        <v>17581426809.23436</v>
      </c>
      <c r="H3">
        <v>26000500108.272369</v>
      </c>
    </row>
    <row r="4" spans="1:8" x14ac:dyDescent="0.25">
      <c r="A4">
        <v>2</v>
      </c>
      <c r="B4">
        <v>2025</v>
      </c>
      <c r="C4">
        <v>7817465.7333248658</v>
      </c>
      <c r="D4">
        <v>564434.03919199866</v>
      </c>
      <c r="E4">
        <v>8381899.7725168644</v>
      </c>
      <c r="F4">
        <v>10914411464.681959</v>
      </c>
      <c r="G4">
        <v>16108931257.464531</v>
      </c>
      <c r="H4">
        <v>27023342722.146481</v>
      </c>
    </row>
    <row r="5" spans="1:8" x14ac:dyDescent="0.25">
      <c r="A5">
        <v>3</v>
      </c>
      <c r="B5">
        <v>2026</v>
      </c>
      <c r="C5">
        <v>7653038.0616959222</v>
      </c>
      <c r="D5">
        <v>501460.82257346442</v>
      </c>
      <c r="E5">
        <v>8154498.8842693875</v>
      </c>
      <c r="F5">
        <v>12919321665.764391</v>
      </c>
      <c r="G5">
        <v>14354618461.701969</v>
      </c>
      <c r="H5">
        <v>27273940127.46637</v>
      </c>
    </row>
    <row r="6" spans="1:8" x14ac:dyDescent="0.25">
      <c r="A6">
        <v>4</v>
      </c>
      <c r="B6">
        <v>2027</v>
      </c>
      <c r="C6">
        <v>7484966.1241104342</v>
      </c>
      <c r="D6">
        <v>451316.27034449438</v>
      </c>
      <c r="E6">
        <v>7936282.3944549281</v>
      </c>
      <c r="F6">
        <v>14179876947.481991</v>
      </c>
      <c r="G6">
        <v>12773189522.90176</v>
      </c>
      <c r="H6">
        <v>26953066470.383759</v>
      </c>
    </row>
    <row r="7" spans="1:8" x14ac:dyDescent="0.25">
      <c r="A7">
        <v>5</v>
      </c>
      <c r="B7">
        <v>2028</v>
      </c>
      <c r="C7">
        <v>7315088.4501401344</v>
      </c>
      <c r="D7">
        <v>413392.98730525048</v>
      </c>
      <c r="E7">
        <v>7728481.4374453845</v>
      </c>
      <c r="F7">
        <v>14800373168.961189</v>
      </c>
      <c r="G7">
        <v>11492154886.69854</v>
      </c>
      <c r="H7">
        <v>26292528055.659729</v>
      </c>
    </row>
    <row r="8" spans="1:8" x14ac:dyDescent="0.25">
      <c r="A8">
        <v>6</v>
      </c>
      <c r="B8">
        <v>2029</v>
      </c>
      <c r="C8">
        <v>7146069.8173895702</v>
      </c>
      <c r="D8">
        <v>385815.27367045172</v>
      </c>
      <c r="E8">
        <v>7531885.0910600219</v>
      </c>
      <c r="F8">
        <v>14982355313.816059</v>
      </c>
      <c r="G8">
        <v>10528519512.395081</v>
      </c>
      <c r="H8">
        <v>25510874826.211121</v>
      </c>
    </row>
    <row r="9" spans="1:8" x14ac:dyDescent="0.25">
      <c r="A9">
        <v>7</v>
      </c>
      <c r="B9">
        <v>2030</v>
      </c>
      <c r="C9">
        <v>6977496.7370053008</v>
      </c>
      <c r="D9">
        <v>366596.57860109769</v>
      </c>
      <c r="E9">
        <v>7344093.3156063994</v>
      </c>
      <c r="F9">
        <v>14855035034.88904</v>
      </c>
      <c r="G9">
        <v>9855315265.4566803</v>
      </c>
      <c r="H9">
        <v>24710350300.34573</v>
      </c>
    </row>
    <row r="10" spans="1:8" x14ac:dyDescent="0.25">
      <c r="A10">
        <v>8</v>
      </c>
      <c r="B10">
        <v>2031</v>
      </c>
      <c r="C10">
        <v>6809121.3901067898</v>
      </c>
      <c r="D10">
        <v>353242.04811300099</v>
      </c>
      <c r="E10">
        <v>7162363.4382197913</v>
      </c>
      <c r="F10">
        <v>14563340127.79892</v>
      </c>
      <c r="G10">
        <v>9383254612.9549713</v>
      </c>
      <c r="H10">
        <v>23946594740.75388</v>
      </c>
    </row>
    <row r="11" spans="1:8" x14ac:dyDescent="0.25">
      <c r="A11">
        <v>9</v>
      </c>
      <c r="B11">
        <v>2032</v>
      </c>
      <c r="C11">
        <v>6643909.8852289468</v>
      </c>
      <c r="D11">
        <v>344314.47417615593</v>
      </c>
      <c r="E11">
        <v>6988224.3594051022</v>
      </c>
      <c r="F11">
        <v>14246711382.22208</v>
      </c>
      <c r="G11">
        <v>9064080495.6365051</v>
      </c>
      <c r="H11">
        <v>23310791877.858582</v>
      </c>
    </row>
    <row r="12" spans="1:8" x14ac:dyDescent="0.25">
      <c r="A12">
        <v>10</v>
      </c>
      <c r="B12">
        <v>2033</v>
      </c>
      <c r="C12">
        <v>6480853.6433271393</v>
      </c>
      <c r="D12">
        <v>338253.65061661409</v>
      </c>
      <c r="E12">
        <v>6819107.2939437525</v>
      </c>
      <c r="F12">
        <v>13961573401.634109</v>
      </c>
      <c r="G12">
        <v>8848173028.4266052</v>
      </c>
      <c r="H12">
        <v>22809746430.06073</v>
      </c>
    </row>
    <row r="13" spans="1:8" x14ac:dyDescent="0.25">
      <c r="A13">
        <v>11</v>
      </c>
      <c r="B13">
        <v>2034</v>
      </c>
      <c r="C13">
        <v>6331352.7617587447</v>
      </c>
      <c r="D13">
        <v>334371.38436878851</v>
      </c>
      <c r="E13">
        <v>6665724.1461275332</v>
      </c>
      <c r="F13">
        <v>13683672688.31918</v>
      </c>
      <c r="G13">
        <v>8724616796.5922241</v>
      </c>
      <c r="H13">
        <v>22408289484.911442</v>
      </c>
    </row>
    <row r="14" spans="1:8" x14ac:dyDescent="0.25">
      <c r="A14">
        <v>12</v>
      </c>
      <c r="B14">
        <v>2035</v>
      </c>
      <c r="C14">
        <v>6182734.231956169</v>
      </c>
      <c r="D14">
        <v>331291.06429256219</v>
      </c>
      <c r="E14">
        <v>6514025.2962487312</v>
      </c>
      <c r="F14">
        <v>13473719625.90921</v>
      </c>
      <c r="G14">
        <v>8617894264.0897064</v>
      </c>
      <c r="H14">
        <v>22091613889.998901</v>
      </c>
    </row>
    <row r="15" spans="1:8" x14ac:dyDescent="0.25">
      <c r="A15">
        <v>13</v>
      </c>
      <c r="B15">
        <v>2036</v>
      </c>
      <c r="C15">
        <v>6035614.5760655701</v>
      </c>
      <c r="D15">
        <v>329097.69986927509</v>
      </c>
      <c r="E15">
        <v>6364712.2759348452</v>
      </c>
      <c r="F15">
        <v>13276119520.848049</v>
      </c>
      <c r="G15">
        <v>8565487611.5972748</v>
      </c>
      <c r="H15">
        <v>21841607132.445309</v>
      </c>
    </row>
    <row r="16" spans="1:8" x14ac:dyDescent="0.25">
      <c r="A16">
        <v>14</v>
      </c>
      <c r="B16">
        <v>2037</v>
      </c>
      <c r="C16">
        <v>5908237.8160436898</v>
      </c>
      <c r="D16">
        <v>329279.87734138308</v>
      </c>
      <c r="E16">
        <v>6237517.693385073</v>
      </c>
      <c r="F16">
        <v>13276660693.26837</v>
      </c>
      <c r="G16">
        <v>8575177758.5816956</v>
      </c>
      <c r="H16">
        <v>21851838451.850101</v>
      </c>
    </row>
    <row r="17" spans="1:8" x14ac:dyDescent="0.25">
      <c r="A17">
        <v>15</v>
      </c>
      <c r="B17">
        <v>2038</v>
      </c>
      <c r="C17">
        <v>5775755.1656813323</v>
      </c>
      <c r="D17">
        <v>328738.6239442667</v>
      </c>
      <c r="E17">
        <v>6104493.789625599</v>
      </c>
      <c r="F17">
        <v>13205297378.75803</v>
      </c>
      <c r="G17">
        <v>8556664654.6501455</v>
      </c>
      <c r="H17">
        <v>21761962033.408138</v>
      </c>
    </row>
    <row r="18" spans="1:8" x14ac:dyDescent="0.25">
      <c r="A18">
        <v>16</v>
      </c>
      <c r="B18">
        <v>2039</v>
      </c>
      <c r="C18">
        <v>5622589.1239590943</v>
      </c>
      <c r="D18">
        <v>325614.6338557275</v>
      </c>
      <c r="E18">
        <v>5948203.7578148218</v>
      </c>
      <c r="F18">
        <v>13073564497.45163</v>
      </c>
      <c r="G18">
        <v>8477264422.5444946</v>
      </c>
      <c r="H18">
        <v>21550828919.996151</v>
      </c>
    </row>
    <row r="19" spans="1:8" x14ac:dyDescent="0.25">
      <c r="A19">
        <v>17</v>
      </c>
      <c r="B19">
        <v>2040</v>
      </c>
      <c r="C19">
        <v>5469130.0796242515</v>
      </c>
      <c r="D19">
        <v>321708.70263602311</v>
      </c>
      <c r="E19">
        <v>5790838.7822602736</v>
      </c>
      <c r="F19">
        <v>12934464602.97073</v>
      </c>
      <c r="G19">
        <v>8394815311.6230774</v>
      </c>
      <c r="H19">
        <v>21329279914.59375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 x14ac:dyDescent="0.25">
      <c r="A2">
        <v>0</v>
      </c>
      <c r="B2">
        <v>2023</v>
      </c>
      <c r="C2">
        <v>9.4916059628018745E-2</v>
      </c>
      <c r="D2">
        <v>9.5252160431513008E-2</v>
      </c>
      <c r="E2">
        <v>1.7986130030936791E-2</v>
      </c>
      <c r="F2">
        <v>1.7824338909203302E-2</v>
      </c>
      <c r="G2">
        <v>0.1161509561223711</v>
      </c>
      <c r="H2">
        <v>0.11601648084587721</v>
      </c>
      <c r="I2">
        <v>0.4999741830320133</v>
      </c>
      <c r="J2">
        <v>0.4999763206237397</v>
      </c>
      <c r="K2">
        <v>0.10417308807739049</v>
      </c>
      <c r="L2">
        <v>0.1021627994506385</v>
      </c>
    </row>
    <row r="3" spans="1:12" x14ac:dyDescent="0.25">
      <c r="A3">
        <v>1</v>
      </c>
      <c r="B3">
        <v>2024</v>
      </c>
      <c r="C3">
        <v>9.4899878043625194E-2</v>
      </c>
      <c r="D3">
        <v>0.1054825608597296</v>
      </c>
      <c r="E3">
        <v>1.7989542570411281E-2</v>
      </c>
      <c r="F3">
        <v>2.0612962507416031E-2</v>
      </c>
      <c r="G3">
        <v>0.1161242873188552</v>
      </c>
      <c r="H3">
        <v>0.12080782940464301</v>
      </c>
      <c r="I3">
        <v>0.49996331763158258</v>
      </c>
      <c r="J3">
        <v>0.51163172085799313</v>
      </c>
      <c r="K3">
        <v>0.10415019861661561</v>
      </c>
      <c r="L3">
        <v>0.1068910047703802</v>
      </c>
    </row>
    <row r="4" spans="1:12" x14ac:dyDescent="0.25">
      <c r="A4">
        <v>2</v>
      </c>
      <c r="B4">
        <v>2025</v>
      </c>
      <c r="C4">
        <v>9.4894049825325927E-2</v>
      </c>
      <c r="D4">
        <v>0.1150541295347027</v>
      </c>
      <c r="E4">
        <v>1.798877136747842E-2</v>
      </c>
      <c r="F4">
        <v>2.3257724202461361E-2</v>
      </c>
      <c r="G4">
        <v>0.11614876397046379</v>
      </c>
      <c r="H4">
        <v>0.12504315363169061</v>
      </c>
      <c r="I4">
        <v>0.49997083182020607</v>
      </c>
      <c r="J4">
        <v>0.5218899028834959</v>
      </c>
      <c r="K4">
        <v>0.10417623119422929</v>
      </c>
      <c r="L4">
        <v>0.1112768475111366</v>
      </c>
    </row>
    <row r="5" spans="1:12" x14ac:dyDescent="0.25">
      <c r="A5">
        <v>3</v>
      </c>
      <c r="B5">
        <v>2026</v>
      </c>
      <c r="C5">
        <v>9.4890501958654255E-2</v>
      </c>
      <c r="D5">
        <v>0.1238633304507132</v>
      </c>
      <c r="E5">
        <v>1.799215306632081E-2</v>
      </c>
      <c r="F5">
        <v>2.5495703466529449E-2</v>
      </c>
      <c r="G5">
        <v>0.11613424895262341</v>
      </c>
      <c r="H5">
        <v>0.1292867063562966</v>
      </c>
      <c r="I5">
        <v>0.4999652934576716</v>
      </c>
      <c r="J5">
        <v>0.53207331861052942</v>
      </c>
      <c r="K5">
        <v>0.1042140252612602</v>
      </c>
      <c r="L5">
        <v>0.11572647984429089</v>
      </c>
    </row>
    <row r="6" spans="1:12" x14ac:dyDescent="0.25">
      <c r="A6">
        <v>4</v>
      </c>
      <c r="B6">
        <v>2027</v>
      </c>
      <c r="C6">
        <v>9.4907505422993491E-2</v>
      </c>
      <c r="D6">
        <v>0.1326250758162382</v>
      </c>
      <c r="E6">
        <v>1.79790021691974E-2</v>
      </c>
      <c r="F6">
        <v>2.765704449723945E-2</v>
      </c>
      <c r="G6">
        <v>0.1161479392624729</v>
      </c>
      <c r="H6">
        <v>0.13345935410558421</v>
      </c>
      <c r="I6">
        <v>0.50002906724511931</v>
      </c>
      <c r="J6">
        <v>0.54178104030666918</v>
      </c>
      <c r="K6">
        <v>0.10417058568329721</v>
      </c>
      <c r="L6">
        <v>0.1194935834889614</v>
      </c>
    </row>
    <row r="7" spans="1:12" x14ac:dyDescent="0.25">
      <c r="A7">
        <v>5</v>
      </c>
      <c r="B7">
        <v>2028</v>
      </c>
      <c r="C7">
        <v>9.4841628990280272E-2</v>
      </c>
      <c r="D7">
        <v>0.14077833771369319</v>
      </c>
      <c r="E7">
        <v>1.796989549165532E-2</v>
      </c>
      <c r="F7">
        <v>2.9672316929086399E-2</v>
      </c>
      <c r="G7">
        <v>0.1160659386081673</v>
      </c>
      <c r="H7">
        <v>0.1373869746582114</v>
      </c>
      <c r="I7">
        <v>0.49995267879556959</v>
      </c>
      <c r="J7">
        <v>0.55133219202854866</v>
      </c>
      <c r="K7">
        <v>0.1041242934901354</v>
      </c>
      <c r="L7">
        <v>0.1230282352373834</v>
      </c>
    </row>
    <row r="8" spans="1:12" x14ac:dyDescent="0.25">
      <c r="A8">
        <v>6</v>
      </c>
      <c r="B8">
        <v>2029</v>
      </c>
      <c r="C8">
        <v>9.476292287618189E-2</v>
      </c>
      <c r="D8">
        <v>0.14754013126393531</v>
      </c>
      <c r="E8">
        <v>1.7965457225454309E-2</v>
      </c>
      <c r="F8">
        <v>3.1302144042097323E-2</v>
      </c>
      <c r="G8">
        <v>0.1160400369663095</v>
      </c>
      <c r="H8">
        <v>0.14088141265918289</v>
      </c>
      <c r="I8">
        <v>0.49990149366729902</v>
      </c>
      <c r="J8">
        <v>0.55893818406937545</v>
      </c>
      <c r="K8">
        <v>0.1040484876169208</v>
      </c>
      <c r="L8">
        <v>0.12590866661185249</v>
      </c>
    </row>
    <row r="9" spans="1:12" x14ac:dyDescent="0.25">
      <c r="A9">
        <v>7</v>
      </c>
      <c r="B9">
        <v>2030</v>
      </c>
      <c r="C9">
        <v>9.4658207327704247E-2</v>
      </c>
      <c r="D9">
        <v>0.15296872584634411</v>
      </c>
      <c r="E9">
        <v>1.7930702170610598E-2</v>
      </c>
      <c r="F9">
        <v>3.2689557891482451E-2</v>
      </c>
      <c r="G9">
        <v>0.115987792844171</v>
      </c>
      <c r="H9">
        <v>0.1437553138042974</v>
      </c>
      <c r="I9">
        <v>0.49973775647951318</v>
      </c>
      <c r="J9">
        <v>0.56590808084711697</v>
      </c>
      <c r="K9">
        <v>0.1039988249617711</v>
      </c>
      <c r="L9">
        <v>0.12873053215334671</v>
      </c>
    </row>
    <row r="10" spans="1:12" x14ac:dyDescent="0.25">
      <c r="A10">
        <v>8</v>
      </c>
      <c r="B10">
        <v>2031</v>
      </c>
      <c r="C10">
        <v>9.454638789843256E-2</v>
      </c>
      <c r="D10">
        <v>0.1578441143625644</v>
      </c>
      <c r="E10">
        <v>1.790655417830065E-2</v>
      </c>
      <c r="F10">
        <v>3.3937727398263673E-2</v>
      </c>
      <c r="G10">
        <v>0.1158811586834987</v>
      </c>
      <c r="H10">
        <v>0.14603321365530331</v>
      </c>
      <c r="I10">
        <v>0.49952855307360261</v>
      </c>
      <c r="J10">
        <v>0.57117280466864395</v>
      </c>
      <c r="K10">
        <v>0.1039658231141049</v>
      </c>
      <c r="L10">
        <v>0.13063797596032611</v>
      </c>
    </row>
    <row r="11" spans="1:12" x14ac:dyDescent="0.25">
      <c r="A11">
        <v>9</v>
      </c>
      <c r="B11">
        <v>2032</v>
      </c>
      <c r="C11">
        <v>9.4342529365257582E-2</v>
      </c>
      <c r="D11">
        <v>0.16088902904863411</v>
      </c>
      <c r="E11">
        <v>1.7864819711176181E-2</v>
      </c>
      <c r="F11">
        <v>3.480927868051719E-2</v>
      </c>
      <c r="G11">
        <v>0.1157963067806117</v>
      </c>
      <c r="H11">
        <v>0.1476901700332669</v>
      </c>
      <c r="I11">
        <v>0.49937964951443248</v>
      </c>
      <c r="J11">
        <v>0.57536378962443779</v>
      </c>
      <c r="K11">
        <v>0.1039064395966337</v>
      </c>
      <c r="L11">
        <v>0.13229209396288241</v>
      </c>
    </row>
    <row r="12" spans="1:12" x14ac:dyDescent="0.25">
      <c r="A12">
        <v>10</v>
      </c>
      <c r="B12">
        <v>2033</v>
      </c>
      <c r="C12">
        <v>9.4126579918849887E-2</v>
      </c>
      <c r="D12">
        <v>0.16307914523841421</v>
      </c>
      <c r="E12">
        <v>1.7811525214774301E-2</v>
      </c>
      <c r="F12">
        <v>3.5591769221360883E-2</v>
      </c>
      <c r="G12">
        <v>0.1157096135584985</v>
      </c>
      <c r="H12">
        <v>0.14896358119244951</v>
      </c>
      <c r="I12">
        <v>0.49908543182180348</v>
      </c>
      <c r="J12">
        <v>0.57837702464224772</v>
      </c>
      <c r="K12">
        <v>0.1038028218953284</v>
      </c>
      <c r="L12">
        <v>0.13373093298077429</v>
      </c>
    </row>
    <row r="13" spans="1:12" x14ac:dyDescent="0.25">
      <c r="A13">
        <v>11</v>
      </c>
      <c r="B13">
        <v>2034</v>
      </c>
      <c r="C13">
        <v>9.3868017163504611E-2</v>
      </c>
      <c r="D13">
        <v>0.1647054394536932</v>
      </c>
      <c r="E13">
        <v>1.773373662740026E-2</v>
      </c>
      <c r="F13">
        <v>3.5952346456728852E-2</v>
      </c>
      <c r="G13">
        <v>0.1155476156115471</v>
      </c>
      <c r="H13">
        <v>0.14962062659640851</v>
      </c>
      <c r="I13">
        <v>0.49882331744217562</v>
      </c>
      <c r="J13">
        <v>0.58070198054477817</v>
      </c>
      <c r="K13">
        <v>0.1037024430289096</v>
      </c>
      <c r="L13">
        <v>0.1343008087138951</v>
      </c>
    </row>
    <row r="14" spans="1:12" x14ac:dyDescent="0.25">
      <c r="A14">
        <v>12</v>
      </c>
      <c r="B14">
        <v>2035</v>
      </c>
      <c r="C14">
        <v>9.3640121027391374E-2</v>
      </c>
      <c r="D14">
        <v>0.1659186879547202</v>
      </c>
      <c r="E14">
        <v>1.7690289929001991E-2</v>
      </c>
      <c r="F14">
        <v>3.6201575434804407E-2</v>
      </c>
      <c r="G14">
        <v>0.1154046848461612</v>
      </c>
      <c r="H14">
        <v>0.1500640647109289</v>
      </c>
      <c r="I14">
        <v>0.49858820073785981</v>
      </c>
      <c r="J14">
        <v>0.58242064332111465</v>
      </c>
      <c r="K14">
        <v>0.1036169253484033</v>
      </c>
      <c r="L14">
        <v>0.1352623310641427</v>
      </c>
    </row>
    <row r="15" spans="1:12" x14ac:dyDescent="0.25">
      <c r="A15">
        <v>13</v>
      </c>
      <c r="B15">
        <v>2036</v>
      </c>
      <c r="C15">
        <v>9.3439626140814108E-2</v>
      </c>
      <c r="D15">
        <v>0.16648558059162499</v>
      </c>
      <c r="E15">
        <v>1.7634867259321192E-2</v>
      </c>
      <c r="F15">
        <v>3.6242541732109113E-2</v>
      </c>
      <c r="G15">
        <v>0.1152947453880054</v>
      </c>
      <c r="H15">
        <v>0.15060572478028161</v>
      </c>
      <c r="I15">
        <v>0.49837424659016238</v>
      </c>
      <c r="J15">
        <v>0.5836785908500336</v>
      </c>
      <c r="K15">
        <v>0.1034637505766899</v>
      </c>
      <c r="L15">
        <v>0.13531959973645741</v>
      </c>
    </row>
    <row r="16" spans="1:12" x14ac:dyDescent="0.25">
      <c r="A16">
        <v>14</v>
      </c>
      <c r="B16">
        <v>2037</v>
      </c>
      <c r="C16">
        <v>9.3153031852752533E-2</v>
      </c>
      <c r="D16">
        <v>0.16643527945083639</v>
      </c>
      <c r="E16">
        <v>1.7570984906497521E-2</v>
      </c>
      <c r="F16">
        <v>3.6049538041412227E-2</v>
      </c>
      <c r="G16">
        <v>0.1151863292780925</v>
      </c>
      <c r="H16">
        <v>0.15059089664021599</v>
      </c>
      <c r="I16">
        <v>0.49809303803608129</v>
      </c>
      <c r="J16">
        <v>0.58376963623430067</v>
      </c>
      <c r="K16">
        <v>0.1032650497256782</v>
      </c>
      <c r="L16">
        <v>0.13550681090786759</v>
      </c>
    </row>
    <row r="17" spans="1:12" x14ac:dyDescent="0.25">
      <c r="A17">
        <v>15</v>
      </c>
      <c r="B17">
        <v>2038</v>
      </c>
      <c r="C17">
        <v>9.2928219638580931E-2</v>
      </c>
      <c r="D17">
        <v>0.16637185215272141</v>
      </c>
      <c r="E17">
        <v>1.7502014880383349E-2</v>
      </c>
      <c r="F17">
        <v>3.5811332250203089E-2</v>
      </c>
      <c r="G17">
        <v>0.1150403692681875</v>
      </c>
      <c r="H17">
        <v>0.15069760357432979</v>
      </c>
      <c r="I17">
        <v>0.49784492419384202</v>
      </c>
      <c r="J17">
        <v>0.58429021121039804</v>
      </c>
      <c r="K17">
        <v>0.1030748157181101</v>
      </c>
      <c r="L17">
        <v>0.1354884240454915</v>
      </c>
    </row>
    <row r="18" spans="1:12" x14ac:dyDescent="0.25">
      <c r="A18">
        <v>16</v>
      </c>
      <c r="B18">
        <v>2039</v>
      </c>
      <c r="C18">
        <v>9.2695116846675099E-2</v>
      </c>
      <c r="D18">
        <v>0.16621956313860739</v>
      </c>
      <c r="E18">
        <v>1.7413847454215169E-2</v>
      </c>
      <c r="F18">
        <v>3.5736275571517102E-2</v>
      </c>
      <c r="G18">
        <v>0.1149599587191904</v>
      </c>
      <c r="H18">
        <v>0.15075935007315339</v>
      </c>
      <c r="I18">
        <v>0.49752657837933478</v>
      </c>
      <c r="J18">
        <v>0.58430755707251791</v>
      </c>
      <c r="K18">
        <v>0.1029798392932212</v>
      </c>
      <c r="L18">
        <v>0.1352308341071029</v>
      </c>
    </row>
    <row r="19" spans="1:12" x14ac:dyDescent="0.25">
      <c r="A19">
        <v>17</v>
      </c>
      <c r="B19">
        <v>2040</v>
      </c>
      <c r="C19">
        <v>9.2467965543029162E-2</v>
      </c>
      <c r="D19">
        <v>0.16566532907704379</v>
      </c>
      <c r="E19">
        <v>1.7356245226386249E-2</v>
      </c>
      <c r="F19">
        <v>3.5634974469036268E-2</v>
      </c>
      <c r="G19">
        <v>0.11485268655205511</v>
      </c>
      <c r="H19">
        <v>0.1504725429652688</v>
      </c>
      <c r="I19">
        <v>0.49716933112253747</v>
      </c>
      <c r="J19">
        <v>0.5839328618386358</v>
      </c>
      <c r="K19">
        <v>0.10288317064374181</v>
      </c>
      <c r="L19">
        <v>0.1352284723707268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A5" sqref="A5:E5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15.5703125" bestFit="1" customWidth="1"/>
    <col min="4" max="4" width="12.7109375" bestFit="1" customWidth="1"/>
    <col min="5" max="5" width="20.7109375" bestFit="1" customWidth="1"/>
  </cols>
  <sheetData>
    <row r="1" spans="1:5" x14ac:dyDescent="0.25">
      <c r="A1" s="1" t="s">
        <v>1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>
        <v>2025</v>
      </c>
      <c r="B2">
        <v>302751</v>
      </c>
      <c r="C2">
        <v>306866</v>
      </c>
      <c r="D2">
        <v>262942</v>
      </c>
      <c r="E2">
        <v>872559</v>
      </c>
    </row>
    <row r="3" spans="1:5" x14ac:dyDescent="0.25">
      <c r="A3">
        <v>2030</v>
      </c>
      <c r="B3">
        <v>290026</v>
      </c>
      <c r="C3">
        <v>278459</v>
      </c>
      <c r="D3">
        <v>359425</v>
      </c>
      <c r="E3">
        <v>927910</v>
      </c>
    </row>
    <row r="4" spans="1:5" x14ac:dyDescent="0.25">
      <c r="A4">
        <v>2035</v>
      </c>
      <c r="B4">
        <v>333498</v>
      </c>
      <c r="C4">
        <v>333130</v>
      </c>
      <c r="D4">
        <v>393940</v>
      </c>
      <c r="E4">
        <v>1060568</v>
      </c>
    </row>
    <row r="5" spans="1:5" x14ac:dyDescent="0.25">
      <c r="A5">
        <v>2040</v>
      </c>
      <c r="B5">
        <v>382830</v>
      </c>
      <c r="C5">
        <v>412669</v>
      </c>
      <c r="D5">
        <v>468553</v>
      </c>
      <c r="E5">
        <v>1264052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selection activeCell="C11" sqref="C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7</v>
      </c>
      <c r="D1" s="1" t="s">
        <v>3</v>
      </c>
      <c r="E1" s="1" t="s">
        <v>50</v>
      </c>
    </row>
    <row r="2" spans="1:5" x14ac:dyDescent="0.25">
      <c r="A2">
        <v>0</v>
      </c>
      <c r="B2">
        <v>2023</v>
      </c>
      <c r="C2">
        <v>80000</v>
      </c>
      <c r="D2">
        <v>10787479</v>
      </c>
      <c r="E2">
        <v>7.4160051667308</v>
      </c>
    </row>
    <row r="3" spans="1:5" x14ac:dyDescent="0.25">
      <c r="A3">
        <v>1</v>
      </c>
      <c r="B3">
        <v>2024</v>
      </c>
      <c r="C3">
        <v>99736</v>
      </c>
      <c r="D3">
        <v>10999835</v>
      </c>
      <c r="E3">
        <v>9.0670450965855398</v>
      </c>
    </row>
    <row r="4" spans="1:5" x14ac:dyDescent="0.25">
      <c r="A4">
        <v>2</v>
      </c>
      <c r="B4">
        <v>2025</v>
      </c>
      <c r="C4">
        <v>103161</v>
      </c>
      <c r="D4">
        <v>11193705</v>
      </c>
      <c r="E4">
        <v>9.2159834478396565</v>
      </c>
    </row>
    <row r="5" spans="1:5" x14ac:dyDescent="0.25">
      <c r="A5">
        <v>3</v>
      </c>
      <c r="B5">
        <v>2026</v>
      </c>
      <c r="C5">
        <v>106448</v>
      </c>
      <c r="D5">
        <v>11366733</v>
      </c>
      <c r="E5">
        <v>9.3648720349109986</v>
      </c>
    </row>
    <row r="6" spans="1:5" x14ac:dyDescent="0.25">
      <c r="A6">
        <v>4</v>
      </c>
      <c r="B6">
        <v>2027</v>
      </c>
      <c r="C6">
        <v>110430</v>
      </c>
      <c r="D6">
        <v>11525000</v>
      </c>
      <c r="E6">
        <v>9.5817787418655094</v>
      </c>
    </row>
    <row r="7" spans="1:5" x14ac:dyDescent="0.25">
      <c r="A7">
        <v>5</v>
      </c>
      <c r="B7">
        <v>2028</v>
      </c>
      <c r="C7">
        <v>114157</v>
      </c>
      <c r="D7">
        <v>11675527</v>
      </c>
      <c r="E7">
        <v>9.7774601523340241</v>
      </c>
    </row>
    <row r="8" spans="1:5" x14ac:dyDescent="0.25">
      <c r="A8">
        <v>6</v>
      </c>
      <c r="B8">
        <v>2029</v>
      </c>
      <c r="C8">
        <v>117661</v>
      </c>
      <c r="D8">
        <v>11821575</v>
      </c>
      <c r="E8">
        <v>9.9530730888227659</v>
      </c>
    </row>
    <row r="9" spans="1:5" x14ac:dyDescent="0.25">
      <c r="A9">
        <v>7</v>
      </c>
      <c r="B9">
        <v>2030</v>
      </c>
      <c r="C9">
        <v>121290</v>
      </c>
      <c r="D9">
        <v>11962164</v>
      </c>
      <c r="E9">
        <v>10.139469748115809</v>
      </c>
    </row>
    <row r="10" spans="1:5" x14ac:dyDescent="0.25">
      <c r="A10">
        <v>8</v>
      </c>
      <c r="B10">
        <v>2031</v>
      </c>
      <c r="C10">
        <v>124237</v>
      </c>
      <c r="D10">
        <v>12101044</v>
      </c>
      <c r="E10">
        <v>10.26663484572075</v>
      </c>
    </row>
    <row r="11" spans="1:5" x14ac:dyDescent="0.25">
      <c r="A11">
        <v>9</v>
      </c>
      <c r="B11">
        <v>2032</v>
      </c>
      <c r="C11">
        <v>128443</v>
      </c>
      <c r="D11">
        <v>12242273</v>
      </c>
      <c r="E11">
        <v>10.491760802916261</v>
      </c>
    </row>
    <row r="12" spans="1:5" x14ac:dyDescent="0.25">
      <c r="A12">
        <v>10</v>
      </c>
      <c r="B12">
        <v>2033</v>
      </c>
      <c r="C12">
        <v>132729</v>
      </c>
      <c r="D12">
        <v>12381253</v>
      </c>
      <c r="E12">
        <v>10.72015893706396</v>
      </c>
    </row>
    <row r="13" spans="1:5" x14ac:dyDescent="0.25">
      <c r="A13">
        <v>11</v>
      </c>
      <c r="B13">
        <v>2034</v>
      </c>
      <c r="C13">
        <v>135796</v>
      </c>
      <c r="D13">
        <v>12521219</v>
      </c>
      <c r="E13">
        <v>10.8452699373759</v>
      </c>
    </row>
    <row r="14" spans="1:5" x14ac:dyDescent="0.25">
      <c r="A14">
        <v>12</v>
      </c>
      <c r="B14">
        <v>2035</v>
      </c>
      <c r="C14">
        <v>140138</v>
      </c>
      <c r="D14">
        <v>12657961</v>
      </c>
      <c r="E14">
        <v>11.071135390605169</v>
      </c>
    </row>
    <row r="15" spans="1:5" x14ac:dyDescent="0.25">
      <c r="A15">
        <v>13</v>
      </c>
      <c r="B15">
        <v>2036</v>
      </c>
      <c r="C15">
        <v>143483</v>
      </c>
      <c r="D15">
        <v>12792838</v>
      </c>
      <c r="E15">
        <v>11.21588501316127</v>
      </c>
    </row>
    <row r="16" spans="1:5" x14ac:dyDescent="0.25">
      <c r="A16">
        <v>14</v>
      </c>
      <c r="B16">
        <v>2037</v>
      </c>
      <c r="C16">
        <v>149086</v>
      </c>
      <c r="D16">
        <v>13009174</v>
      </c>
      <c r="E16">
        <v>11.460066565333049</v>
      </c>
    </row>
    <row r="17" spans="1:5" x14ac:dyDescent="0.25">
      <c r="A17">
        <v>15</v>
      </c>
      <c r="B17">
        <v>2038</v>
      </c>
      <c r="C17">
        <v>153655</v>
      </c>
      <c r="D17">
        <v>13117404</v>
      </c>
      <c r="E17">
        <v>11.71382691270315</v>
      </c>
    </row>
    <row r="18" spans="1:5" x14ac:dyDescent="0.25">
      <c r="A18">
        <v>16</v>
      </c>
      <c r="B18">
        <v>2039</v>
      </c>
      <c r="C18">
        <v>157049</v>
      </c>
      <c r="D18">
        <v>13218733</v>
      </c>
      <c r="E18">
        <v>11.880790693026331</v>
      </c>
    </row>
    <row r="19" spans="1:5" x14ac:dyDescent="0.25">
      <c r="A19">
        <v>17</v>
      </c>
      <c r="B19">
        <v>2040</v>
      </c>
      <c r="C19">
        <v>159591</v>
      </c>
      <c r="D19">
        <v>13306219</v>
      </c>
      <c r="E19">
        <v>11.99371511922357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7"/>
  <sheetViews>
    <sheetView workbookViewId="0">
      <selection activeCell="J2" sqref="J2"/>
    </sheetView>
  </sheetViews>
  <sheetFormatPr defaultColWidth="9" defaultRowHeight="15" x14ac:dyDescent="0.25"/>
  <cols>
    <col min="1" max="1" width="10" bestFit="1" customWidth="1"/>
    <col min="2" max="2" width="13.5703125" bestFit="1" customWidth="1"/>
    <col min="3" max="3" width="7.28515625" bestFit="1" customWidth="1"/>
    <col min="4" max="4" width="9.5703125" bestFit="1" customWidth="1"/>
    <col min="5" max="5" width="10.28515625" bestFit="1" customWidth="1"/>
    <col min="6" max="6" width="10.42578125" bestFit="1" customWidth="1"/>
    <col min="7" max="7" width="20" bestFit="1" customWidth="1"/>
    <col min="8" max="8" width="22.42578125" bestFit="1" customWidth="1"/>
    <col min="9" max="9" width="24.5703125" bestFit="1" customWidth="1"/>
    <col min="10" max="10" width="33.85546875" bestFit="1" customWidth="1"/>
    <col min="11" max="11" width="29.140625" bestFit="1" customWidth="1"/>
  </cols>
  <sheetData>
    <row r="1" spans="1:11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x14ac:dyDescent="0.25">
      <c r="A2">
        <v>1</v>
      </c>
      <c r="B2">
        <v>2024</v>
      </c>
      <c r="C2" t="s">
        <v>60</v>
      </c>
      <c r="D2" t="s">
        <v>61</v>
      </c>
      <c r="E2">
        <v>65</v>
      </c>
      <c r="F2">
        <v>69</v>
      </c>
      <c r="G2">
        <v>1497816</v>
      </c>
      <c r="H2">
        <v>6503</v>
      </c>
      <c r="I2">
        <v>1519649</v>
      </c>
      <c r="J2">
        <v>34415</v>
      </c>
      <c r="K2">
        <v>2.2646676962903931E-2</v>
      </c>
    </row>
    <row r="3" spans="1:11" x14ac:dyDescent="0.25">
      <c r="A3">
        <v>1</v>
      </c>
      <c r="B3">
        <v>2024</v>
      </c>
      <c r="C3" t="s">
        <v>60</v>
      </c>
      <c r="D3" t="s">
        <v>62</v>
      </c>
      <c r="E3">
        <v>70</v>
      </c>
      <c r="F3">
        <v>74</v>
      </c>
      <c r="G3">
        <v>1840479</v>
      </c>
      <c r="H3">
        <v>9797</v>
      </c>
      <c r="I3">
        <v>1863766</v>
      </c>
      <c r="J3">
        <v>44714</v>
      </c>
      <c r="K3">
        <v>2.3991209196862699E-2</v>
      </c>
    </row>
    <row r="4" spans="1:11" x14ac:dyDescent="0.25">
      <c r="A4">
        <v>1</v>
      </c>
      <c r="B4">
        <v>2024</v>
      </c>
      <c r="C4" t="s">
        <v>60</v>
      </c>
      <c r="D4" t="s">
        <v>63</v>
      </c>
      <c r="E4">
        <v>75</v>
      </c>
      <c r="F4">
        <v>79</v>
      </c>
      <c r="G4">
        <v>1925044</v>
      </c>
      <c r="H4">
        <v>13424</v>
      </c>
      <c r="I4">
        <v>1940004</v>
      </c>
      <c r="J4">
        <v>48101</v>
      </c>
      <c r="K4">
        <v>2.4794278774682939E-2</v>
      </c>
    </row>
    <row r="5" spans="1:11" x14ac:dyDescent="0.25">
      <c r="A5">
        <v>1</v>
      </c>
      <c r="B5">
        <v>2024</v>
      </c>
      <c r="C5" t="s">
        <v>60</v>
      </c>
      <c r="D5" t="s">
        <v>64</v>
      </c>
      <c r="E5">
        <v>80</v>
      </c>
      <c r="F5">
        <v>84</v>
      </c>
      <c r="G5">
        <v>1357480</v>
      </c>
      <c r="H5">
        <v>11727</v>
      </c>
      <c r="I5">
        <v>1465954</v>
      </c>
      <c r="J5">
        <v>145102</v>
      </c>
      <c r="K5">
        <v>9.8981277720856173E-2</v>
      </c>
    </row>
    <row r="6" spans="1:11" x14ac:dyDescent="0.25">
      <c r="A6">
        <v>1</v>
      </c>
      <c r="B6">
        <v>2024</v>
      </c>
      <c r="C6" t="s">
        <v>60</v>
      </c>
      <c r="D6" t="s">
        <v>65</v>
      </c>
      <c r="E6">
        <v>85</v>
      </c>
      <c r="F6">
        <v>89</v>
      </c>
      <c r="G6">
        <v>1202377</v>
      </c>
      <c r="H6">
        <v>13336</v>
      </c>
      <c r="I6">
        <v>1315040</v>
      </c>
      <c r="J6">
        <v>167884</v>
      </c>
      <c r="K6">
        <v>0.12766455773208421</v>
      </c>
    </row>
    <row r="7" spans="1:11" x14ac:dyDescent="0.25">
      <c r="A7">
        <v>1</v>
      </c>
      <c r="B7">
        <v>2024</v>
      </c>
      <c r="C7" t="s">
        <v>60</v>
      </c>
      <c r="D7" t="s">
        <v>66</v>
      </c>
      <c r="E7">
        <v>90</v>
      </c>
      <c r="G7">
        <v>2866033</v>
      </c>
      <c r="H7">
        <v>44949</v>
      </c>
      <c r="I7">
        <v>2895422</v>
      </c>
      <c r="J7">
        <v>389068</v>
      </c>
      <c r="K7">
        <v>0.13437350410406501</v>
      </c>
    </row>
    <row r="8" spans="1:11" x14ac:dyDescent="0.25">
      <c r="A8">
        <v>1</v>
      </c>
      <c r="B8">
        <v>2024</v>
      </c>
      <c r="C8" t="s">
        <v>67</v>
      </c>
      <c r="D8" t="s">
        <v>61</v>
      </c>
      <c r="E8">
        <v>65</v>
      </c>
      <c r="F8">
        <v>69</v>
      </c>
      <c r="G8">
        <v>763462</v>
      </c>
      <c r="H8">
        <v>3322</v>
      </c>
      <c r="I8">
        <v>775762</v>
      </c>
      <c r="J8">
        <v>18055</v>
      </c>
      <c r="K8">
        <v>2.3273890703592079E-2</v>
      </c>
    </row>
    <row r="9" spans="1:11" x14ac:dyDescent="0.25">
      <c r="A9">
        <v>1</v>
      </c>
      <c r="B9">
        <v>2024</v>
      </c>
      <c r="C9" t="s">
        <v>67</v>
      </c>
      <c r="D9" t="s">
        <v>62</v>
      </c>
      <c r="E9">
        <v>70</v>
      </c>
      <c r="F9">
        <v>74</v>
      </c>
      <c r="G9">
        <v>935426</v>
      </c>
      <c r="H9">
        <v>4992</v>
      </c>
      <c r="I9">
        <v>949183</v>
      </c>
      <c r="J9">
        <v>23414</v>
      </c>
      <c r="K9">
        <v>2.466752986515772E-2</v>
      </c>
    </row>
    <row r="10" spans="1:11" x14ac:dyDescent="0.25">
      <c r="A10">
        <v>1</v>
      </c>
      <c r="B10">
        <v>2024</v>
      </c>
      <c r="C10" t="s">
        <v>67</v>
      </c>
      <c r="D10" t="s">
        <v>63</v>
      </c>
      <c r="E10">
        <v>75</v>
      </c>
      <c r="F10">
        <v>79</v>
      </c>
      <c r="G10">
        <v>982572</v>
      </c>
      <c r="H10">
        <v>6827</v>
      </c>
      <c r="I10">
        <v>992773</v>
      </c>
      <c r="J10">
        <v>25290</v>
      </c>
      <c r="K10">
        <v>2.5474101330314181E-2</v>
      </c>
    </row>
    <row r="11" spans="1:11" x14ac:dyDescent="0.25">
      <c r="A11">
        <v>1</v>
      </c>
      <c r="B11">
        <v>2024</v>
      </c>
      <c r="C11" t="s">
        <v>67</v>
      </c>
      <c r="D11" t="s">
        <v>64</v>
      </c>
      <c r="E11">
        <v>80</v>
      </c>
      <c r="F11">
        <v>84</v>
      </c>
      <c r="G11">
        <v>740942</v>
      </c>
      <c r="H11">
        <v>6448</v>
      </c>
      <c r="I11">
        <v>814920</v>
      </c>
      <c r="J11">
        <v>92114</v>
      </c>
      <c r="K11">
        <v>0.1130344082854759</v>
      </c>
    </row>
    <row r="12" spans="1:11" x14ac:dyDescent="0.25">
      <c r="A12">
        <v>1</v>
      </c>
      <c r="B12">
        <v>2024</v>
      </c>
      <c r="C12" t="s">
        <v>67</v>
      </c>
      <c r="D12" t="s">
        <v>65</v>
      </c>
      <c r="E12">
        <v>85</v>
      </c>
      <c r="F12">
        <v>89</v>
      </c>
      <c r="G12">
        <v>672586</v>
      </c>
      <c r="H12">
        <v>7573</v>
      </c>
      <c r="I12">
        <v>752929</v>
      </c>
      <c r="J12">
        <v>108431</v>
      </c>
      <c r="K12">
        <v>0.1440122508231188</v>
      </c>
    </row>
    <row r="13" spans="1:11" x14ac:dyDescent="0.25">
      <c r="A13">
        <v>1</v>
      </c>
      <c r="B13">
        <v>2024</v>
      </c>
      <c r="C13" t="s">
        <v>67</v>
      </c>
      <c r="D13" t="s">
        <v>66</v>
      </c>
      <c r="E13">
        <v>90</v>
      </c>
      <c r="G13">
        <v>1604483</v>
      </c>
      <c r="H13">
        <v>25421</v>
      </c>
      <c r="I13">
        <v>1677552</v>
      </c>
      <c r="J13">
        <v>251606</v>
      </c>
      <c r="K13">
        <v>0.14998402434022909</v>
      </c>
    </row>
    <row r="14" spans="1:11" x14ac:dyDescent="0.25">
      <c r="A14">
        <v>1</v>
      </c>
      <c r="B14">
        <v>2024</v>
      </c>
      <c r="C14" t="s">
        <v>68</v>
      </c>
      <c r="D14" t="s">
        <v>61</v>
      </c>
      <c r="E14">
        <v>65</v>
      </c>
      <c r="F14">
        <v>69</v>
      </c>
      <c r="G14">
        <v>734354</v>
      </c>
      <c r="H14">
        <v>3181</v>
      </c>
      <c r="I14">
        <v>743887</v>
      </c>
      <c r="J14">
        <v>16360</v>
      </c>
      <c r="K14">
        <v>2.19925875838669E-2</v>
      </c>
    </row>
    <row r="15" spans="1:11" x14ac:dyDescent="0.25">
      <c r="A15">
        <v>1</v>
      </c>
      <c r="B15">
        <v>2024</v>
      </c>
      <c r="C15" t="s">
        <v>68</v>
      </c>
      <c r="D15" t="s">
        <v>62</v>
      </c>
      <c r="E15">
        <v>70</v>
      </c>
      <c r="F15">
        <v>74</v>
      </c>
      <c r="G15">
        <v>905053</v>
      </c>
      <c r="H15">
        <v>4805</v>
      </c>
      <c r="I15">
        <v>914583</v>
      </c>
      <c r="J15">
        <v>21300</v>
      </c>
      <c r="K15">
        <v>2.328930233778673E-2</v>
      </c>
    </row>
    <row r="16" spans="1:11" x14ac:dyDescent="0.25">
      <c r="A16">
        <v>1</v>
      </c>
      <c r="B16">
        <v>2024</v>
      </c>
      <c r="C16" t="s">
        <v>68</v>
      </c>
      <c r="D16" t="s">
        <v>63</v>
      </c>
      <c r="E16">
        <v>75</v>
      </c>
      <c r="F16">
        <v>79</v>
      </c>
      <c r="G16">
        <v>942472</v>
      </c>
      <c r="H16">
        <v>6597</v>
      </c>
      <c r="I16">
        <v>947231</v>
      </c>
      <c r="J16">
        <v>22811</v>
      </c>
      <c r="K16">
        <v>2.408177097244495E-2</v>
      </c>
    </row>
    <row r="17" spans="1:11" x14ac:dyDescent="0.25">
      <c r="A17">
        <v>1</v>
      </c>
      <c r="B17">
        <v>2024</v>
      </c>
      <c r="C17" t="s">
        <v>68</v>
      </c>
      <c r="D17" t="s">
        <v>64</v>
      </c>
      <c r="E17">
        <v>80</v>
      </c>
      <c r="F17">
        <v>84</v>
      </c>
      <c r="G17">
        <v>616538</v>
      </c>
      <c r="H17">
        <v>5279</v>
      </c>
      <c r="I17">
        <v>651034</v>
      </c>
      <c r="J17">
        <v>52988</v>
      </c>
      <c r="K17">
        <v>8.1390526454839532E-2</v>
      </c>
    </row>
    <row r="18" spans="1:11" x14ac:dyDescent="0.25">
      <c r="A18">
        <v>1</v>
      </c>
      <c r="B18">
        <v>2024</v>
      </c>
      <c r="C18" t="s">
        <v>68</v>
      </c>
      <c r="D18" t="s">
        <v>65</v>
      </c>
      <c r="E18">
        <v>85</v>
      </c>
      <c r="F18">
        <v>89</v>
      </c>
      <c r="G18">
        <v>529791</v>
      </c>
      <c r="H18">
        <v>5763</v>
      </c>
      <c r="I18">
        <v>562111</v>
      </c>
      <c r="J18">
        <v>59453</v>
      </c>
      <c r="K18">
        <v>0.1057673662319364</v>
      </c>
    </row>
    <row r="19" spans="1:11" x14ac:dyDescent="0.25">
      <c r="A19">
        <v>1</v>
      </c>
      <c r="B19">
        <v>2024</v>
      </c>
      <c r="C19" t="s">
        <v>68</v>
      </c>
      <c r="D19" t="s">
        <v>66</v>
      </c>
      <c r="E19">
        <v>90</v>
      </c>
      <c r="G19">
        <v>1261550</v>
      </c>
      <c r="H19">
        <v>19528</v>
      </c>
      <c r="I19">
        <v>1217870</v>
      </c>
      <c r="J19">
        <v>137462</v>
      </c>
      <c r="K19">
        <v>0.11287083186218561</v>
      </c>
    </row>
    <row r="20" spans="1:11" x14ac:dyDescent="0.25">
      <c r="A20">
        <v>2</v>
      </c>
      <c r="B20">
        <v>2025</v>
      </c>
      <c r="C20" t="s">
        <v>60</v>
      </c>
      <c r="D20" t="s">
        <v>61</v>
      </c>
      <c r="E20">
        <v>65</v>
      </c>
      <c r="F20">
        <v>69</v>
      </c>
      <c r="G20">
        <v>1204795</v>
      </c>
      <c r="H20">
        <v>5256</v>
      </c>
      <c r="I20">
        <v>1223976</v>
      </c>
      <c r="J20">
        <v>29649</v>
      </c>
      <c r="K20">
        <v>2.4223514186552681E-2</v>
      </c>
    </row>
    <row r="21" spans="1:11" x14ac:dyDescent="0.25">
      <c r="A21">
        <v>2</v>
      </c>
      <c r="B21">
        <v>2025</v>
      </c>
      <c r="C21" t="s">
        <v>60</v>
      </c>
      <c r="D21" t="s">
        <v>62</v>
      </c>
      <c r="E21">
        <v>70</v>
      </c>
      <c r="F21">
        <v>74</v>
      </c>
      <c r="G21">
        <v>1894904</v>
      </c>
      <c r="H21">
        <v>10201</v>
      </c>
      <c r="I21">
        <v>1924895</v>
      </c>
      <c r="J21">
        <v>52339</v>
      </c>
      <c r="K21">
        <v>2.71905740313108E-2</v>
      </c>
    </row>
    <row r="22" spans="1:11" x14ac:dyDescent="0.25">
      <c r="A22">
        <v>2</v>
      </c>
      <c r="B22">
        <v>2025</v>
      </c>
      <c r="C22" t="s">
        <v>60</v>
      </c>
      <c r="D22" t="s">
        <v>63</v>
      </c>
      <c r="E22">
        <v>75</v>
      </c>
      <c r="F22">
        <v>79</v>
      </c>
      <c r="G22">
        <v>2039567</v>
      </c>
      <c r="H22">
        <v>13989</v>
      </c>
      <c r="I22">
        <v>2062879</v>
      </c>
      <c r="J22">
        <v>58902</v>
      </c>
      <c r="K22">
        <v>2.8553298569620422E-2</v>
      </c>
    </row>
    <row r="23" spans="1:11" x14ac:dyDescent="0.25">
      <c r="A23">
        <v>2</v>
      </c>
      <c r="B23">
        <v>2025</v>
      </c>
      <c r="C23" t="s">
        <v>60</v>
      </c>
      <c r="D23" t="s">
        <v>64</v>
      </c>
      <c r="E23">
        <v>80</v>
      </c>
      <c r="F23">
        <v>84</v>
      </c>
      <c r="G23">
        <v>1572995</v>
      </c>
      <c r="H23">
        <v>13610</v>
      </c>
      <c r="I23">
        <v>1656612</v>
      </c>
      <c r="J23">
        <v>126118</v>
      </c>
      <c r="K23">
        <v>7.6130077531733439E-2</v>
      </c>
    </row>
    <row r="24" spans="1:11" x14ac:dyDescent="0.25">
      <c r="A24">
        <v>2</v>
      </c>
      <c r="B24">
        <v>2025</v>
      </c>
      <c r="C24" t="s">
        <v>60</v>
      </c>
      <c r="D24" t="s">
        <v>65</v>
      </c>
      <c r="E24">
        <v>85</v>
      </c>
      <c r="F24">
        <v>89</v>
      </c>
      <c r="G24">
        <v>1243383</v>
      </c>
      <c r="H24">
        <v>13619</v>
      </c>
      <c r="I24">
        <v>1353560</v>
      </c>
      <c r="J24">
        <v>167806</v>
      </c>
      <c r="K24">
        <v>0.1239738171931795</v>
      </c>
    </row>
    <row r="25" spans="1:11" x14ac:dyDescent="0.25">
      <c r="A25">
        <v>2</v>
      </c>
      <c r="B25">
        <v>2025</v>
      </c>
      <c r="C25" t="s">
        <v>60</v>
      </c>
      <c r="D25" t="s">
        <v>66</v>
      </c>
      <c r="E25">
        <v>90</v>
      </c>
      <c r="G25">
        <v>2923204</v>
      </c>
      <c r="H25">
        <v>46486</v>
      </c>
      <c r="I25">
        <v>2971783</v>
      </c>
      <c r="J25">
        <v>405208</v>
      </c>
      <c r="K25">
        <v>0.13635181303614699</v>
      </c>
    </row>
    <row r="26" spans="1:11" x14ac:dyDescent="0.25">
      <c r="A26">
        <v>2</v>
      </c>
      <c r="B26">
        <v>2025</v>
      </c>
      <c r="C26" t="s">
        <v>67</v>
      </c>
      <c r="D26" t="s">
        <v>61</v>
      </c>
      <c r="E26">
        <v>65</v>
      </c>
      <c r="F26">
        <v>69</v>
      </c>
      <c r="G26">
        <v>616989</v>
      </c>
      <c r="H26">
        <v>2692</v>
      </c>
      <c r="I26">
        <v>627739</v>
      </c>
      <c r="J26">
        <v>15547</v>
      </c>
      <c r="K26">
        <v>2.4766662577918531E-2</v>
      </c>
    </row>
    <row r="27" spans="1:11" x14ac:dyDescent="0.25">
      <c r="A27">
        <v>2</v>
      </c>
      <c r="B27">
        <v>2025</v>
      </c>
      <c r="C27" t="s">
        <v>67</v>
      </c>
      <c r="D27" t="s">
        <v>62</v>
      </c>
      <c r="E27">
        <v>70</v>
      </c>
      <c r="F27">
        <v>74</v>
      </c>
      <c r="G27">
        <v>967256</v>
      </c>
      <c r="H27">
        <v>5184</v>
      </c>
      <c r="I27">
        <v>984493</v>
      </c>
      <c r="J27">
        <v>27268</v>
      </c>
      <c r="K27">
        <v>2.7697505213343319E-2</v>
      </c>
    </row>
    <row r="28" spans="1:11" x14ac:dyDescent="0.25">
      <c r="A28">
        <v>2</v>
      </c>
      <c r="B28">
        <v>2025</v>
      </c>
      <c r="C28" t="s">
        <v>67</v>
      </c>
      <c r="D28" t="s">
        <v>63</v>
      </c>
      <c r="E28">
        <v>75</v>
      </c>
      <c r="F28">
        <v>79</v>
      </c>
      <c r="G28">
        <v>1046557</v>
      </c>
      <c r="H28">
        <v>7216</v>
      </c>
      <c r="I28">
        <v>1061264</v>
      </c>
      <c r="J28">
        <v>30868</v>
      </c>
      <c r="K28">
        <v>2.90860709493585E-2</v>
      </c>
    </row>
    <row r="29" spans="1:11" x14ac:dyDescent="0.25">
      <c r="A29">
        <v>2</v>
      </c>
      <c r="B29">
        <v>2025</v>
      </c>
      <c r="C29" t="s">
        <v>67</v>
      </c>
      <c r="D29" t="s">
        <v>64</v>
      </c>
      <c r="E29">
        <v>80</v>
      </c>
      <c r="F29">
        <v>84</v>
      </c>
      <c r="G29">
        <v>843289</v>
      </c>
      <c r="H29">
        <v>7336</v>
      </c>
      <c r="I29">
        <v>900365</v>
      </c>
      <c r="J29">
        <v>77722</v>
      </c>
      <c r="K29">
        <v>8.6322769099198657E-2</v>
      </c>
    </row>
    <row r="30" spans="1:11" x14ac:dyDescent="0.25">
      <c r="A30">
        <v>2</v>
      </c>
      <c r="B30">
        <v>2025</v>
      </c>
      <c r="C30" t="s">
        <v>67</v>
      </c>
      <c r="D30" t="s">
        <v>65</v>
      </c>
      <c r="E30">
        <v>85</v>
      </c>
      <c r="F30">
        <v>89</v>
      </c>
      <c r="G30">
        <v>696251</v>
      </c>
      <c r="H30">
        <v>7615</v>
      </c>
      <c r="I30">
        <v>774327</v>
      </c>
      <c r="J30">
        <v>107225</v>
      </c>
      <c r="K30">
        <v>0.13847508868992039</v>
      </c>
    </row>
    <row r="31" spans="1:11" x14ac:dyDescent="0.25">
      <c r="A31">
        <v>2</v>
      </c>
      <c r="B31">
        <v>2025</v>
      </c>
      <c r="C31" t="s">
        <v>67</v>
      </c>
      <c r="D31" t="s">
        <v>66</v>
      </c>
      <c r="E31">
        <v>90</v>
      </c>
      <c r="G31">
        <v>1655932</v>
      </c>
      <c r="H31">
        <v>26445</v>
      </c>
      <c r="I31">
        <v>1725129</v>
      </c>
      <c r="J31">
        <v>259640</v>
      </c>
      <c r="K31">
        <v>0.15050468689587851</v>
      </c>
    </row>
    <row r="32" spans="1:11" x14ac:dyDescent="0.25">
      <c r="A32">
        <v>2</v>
      </c>
      <c r="B32">
        <v>2025</v>
      </c>
      <c r="C32" t="s">
        <v>68</v>
      </c>
      <c r="D32" t="s">
        <v>61</v>
      </c>
      <c r="E32">
        <v>65</v>
      </c>
      <c r="F32">
        <v>69</v>
      </c>
      <c r="G32">
        <v>587806</v>
      </c>
      <c r="H32">
        <v>2564</v>
      </c>
      <c r="I32">
        <v>596237</v>
      </c>
      <c r="J32">
        <v>14102</v>
      </c>
      <c r="K32">
        <v>2.3651668715628179E-2</v>
      </c>
    </row>
    <row r="33" spans="1:11" x14ac:dyDescent="0.25">
      <c r="A33">
        <v>2</v>
      </c>
      <c r="B33">
        <v>2025</v>
      </c>
      <c r="C33" t="s">
        <v>68</v>
      </c>
      <c r="D33" t="s">
        <v>62</v>
      </c>
      <c r="E33">
        <v>70</v>
      </c>
      <c r="F33">
        <v>74</v>
      </c>
      <c r="G33">
        <v>927648</v>
      </c>
      <c r="H33">
        <v>5017</v>
      </c>
      <c r="I33">
        <v>940402</v>
      </c>
      <c r="J33">
        <v>25071</v>
      </c>
      <c r="K33">
        <v>2.6659875244842101E-2</v>
      </c>
    </row>
    <row r="34" spans="1:11" x14ac:dyDescent="0.25">
      <c r="A34">
        <v>2</v>
      </c>
      <c r="B34">
        <v>2025</v>
      </c>
      <c r="C34" t="s">
        <v>68</v>
      </c>
      <c r="D34" t="s">
        <v>63</v>
      </c>
      <c r="E34">
        <v>75</v>
      </c>
      <c r="F34">
        <v>79</v>
      </c>
      <c r="G34">
        <v>993010</v>
      </c>
      <c r="H34">
        <v>6773</v>
      </c>
      <c r="I34">
        <v>1001615</v>
      </c>
      <c r="J34">
        <v>28034</v>
      </c>
      <c r="K34">
        <v>2.79887980910829E-2</v>
      </c>
    </row>
    <row r="35" spans="1:11" x14ac:dyDescent="0.25">
      <c r="A35">
        <v>2</v>
      </c>
      <c r="B35">
        <v>2025</v>
      </c>
      <c r="C35" t="s">
        <v>68</v>
      </c>
      <c r="D35" t="s">
        <v>64</v>
      </c>
      <c r="E35">
        <v>80</v>
      </c>
      <c r="F35">
        <v>84</v>
      </c>
      <c r="G35">
        <v>729706</v>
      </c>
      <c r="H35">
        <v>6274</v>
      </c>
      <c r="I35">
        <v>756247</v>
      </c>
      <c r="J35">
        <v>48396</v>
      </c>
      <c r="K35">
        <v>6.3994964608124066E-2</v>
      </c>
    </row>
    <row r="36" spans="1:11" x14ac:dyDescent="0.25">
      <c r="A36">
        <v>2</v>
      </c>
      <c r="B36">
        <v>2025</v>
      </c>
      <c r="C36" t="s">
        <v>68</v>
      </c>
      <c r="D36" t="s">
        <v>65</v>
      </c>
      <c r="E36">
        <v>85</v>
      </c>
      <c r="F36">
        <v>89</v>
      </c>
      <c r="G36">
        <v>547132</v>
      </c>
      <c r="H36">
        <v>6004</v>
      </c>
      <c r="I36">
        <v>579233</v>
      </c>
      <c r="J36">
        <v>60581</v>
      </c>
      <c r="K36">
        <v>0.1045883090224487</v>
      </c>
    </row>
    <row r="37" spans="1:11" x14ac:dyDescent="0.25">
      <c r="A37">
        <v>2</v>
      </c>
      <c r="B37">
        <v>2025</v>
      </c>
      <c r="C37" t="s">
        <v>68</v>
      </c>
      <c r="D37" t="s">
        <v>66</v>
      </c>
      <c r="E37">
        <v>90</v>
      </c>
      <c r="G37">
        <v>1267272</v>
      </c>
      <c r="H37">
        <v>20041</v>
      </c>
      <c r="I37">
        <v>1246654</v>
      </c>
      <c r="J37">
        <v>145568</v>
      </c>
      <c r="K37">
        <v>0.1167669618033552</v>
      </c>
    </row>
    <row r="38" spans="1:11" x14ac:dyDescent="0.25">
      <c r="A38">
        <v>3</v>
      </c>
      <c r="B38">
        <v>2026</v>
      </c>
      <c r="C38" t="s">
        <v>60</v>
      </c>
      <c r="D38" t="s">
        <v>61</v>
      </c>
      <c r="E38">
        <v>65</v>
      </c>
      <c r="F38">
        <v>69</v>
      </c>
      <c r="G38">
        <v>900681</v>
      </c>
      <c r="H38">
        <v>4071</v>
      </c>
      <c r="I38">
        <v>915168</v>
      </c>
      <c r="J38">
        <v>22507</v>
      </c>
      <c r="K38">
        <v>2.4593298716738349E-2</v>
      </c>
    </row>
    <row r="39" spans="1:11" x14ac:dyDescent="0.25">
      <c r="A39">
        <v>3</v>
      </c>
      <c r="B39">
        <v>2026</v>
      </c>
      <c r="C39" t="s">
        <v>60</v>
      </c>
      <c r="D39" t="s">
        <v>62</v>
      </c>
      <c r="E39">
        <v>70</v>
      </c>
      <c r="F39">
        <v>74</v>
      </c>
      <c r="G39">
        <v>1954128</v>
      </c>
      <c r="H39">
        <v>10528</v>
      </c>
      <c r="I39">
        <v>1990129</v>
      </c>
      <c r="J39">
        <v>58922</v>
      </c>
      <c r="K39">
        <v>2.960712597022605E-2</v>
      </c>
    </row>
    <row r="40" spans="1:11" x14ac:dyDescent="0.25">
      <c r="A40">
        <v>3</v>
      </c>
      <c r="B40">
        <v>2026</v>
      </c>
      <c r="C40" t="s">
        <v>60</v>
      </c>
      <c r="D40" t="s">
        <v>63</v>
      </c>
      <c r="E40">
        <v>75</v>
      </c>
      <c r="F40">
        <v>79</v>
      </c>
      <c r="G40">
        <v>2132027</v>
      </c>
      <c r="H40">
        <v>14731</v>
      </c>
      <c r="I40">
        <v>2164004</v>
      </c>
      <c r="J40">
        <v>68678</v>
      </c>
      <c r="K40">
        <v>3.17365402282066E-2</v>
      </c>
    </row>
    <row r="41" spans="1:11" x14ac:dyDescent="0.25">
      <c r="A41">
        <v>3</v>
      </c>
      <c r="B41">
        <v>2026</v>
      </c>
      <c r="C41" t="s">
        <v>60</v>
      </c>
      <c r="D41" t="s">
        <v>64</v>
      </c>
      <c r="E41">
        <v>80</v>
      </c>
      <c r="F41">
        <v>84</v>
      </c>
      <c r="G41">
        <v>1794572</v>
      </c>
      <c r="H41">
        <v>15267</v>
      </c>
      <c r="I41">
        <v>1858465</v>
      </c>
      <c r="J41">
        <v>111519</v>
      </c>
      <c r="K41">
        <v>6.0005972670994612E-2</v>
      </c>
    </row>
    <row r="42" spans="1:11" x14ac:dyDescent="0.25">
      <c r="A42">
        <v>3</v>
      </c>
      <c r="B42">
        <v>2026</v>
      </c>
      <c r="C42" t="s">
        <v>60</v>
      </c>
      <c r="D42" t="s">
        <v>65</v>
      </c>
      <c r="E42">
        <v>85</v>
      </c>
      <c r="F42">
        <v>89</v>
      </c>
      <c r="G42">
        <v>1293759</v>
      </c>
      <c r="H42">
        <v>14115</v>
      </c>
      <c r="I42">
        <v>1399612</v>
      </c>
      <c r="J42">
        <v>164880</v>
      </c>
      <c r="K42">
        <v>0.11780407712994739</v>
      </c>
    </row>
    <row r="43" spans="1:11" x14ac:dyDescent="0.25">
      <c r="A43">
        <v>3</v>
      </c>
      <c r="B43">
        <v>2026</v>
      </c>
      <c r="C43" t="s">
        <v>60</v>
      </c>
      <c r="D43" t="s">
        <v>66</v>
      </c>
      <c r="E43">
        <v>90</v>
      </c>
      <c r="G43">
        <v>2990998</v>
      </c>
      <c r="H43">
        <v>47736</v>
      </c>
      <c r="I43">
        <v>3039355</v>
      </c>
      <c r="J43">
        <v>413008</v>
      </c>
      <c r="K43">
        <v>0.13588672596652909</v>
      </c>
    </row>
    <row r="44" spans="1:11" x14ac:dyDescent="0.25">
      <c r="A44">
        <v>3</v>
      </c>
      <c r="B44">
        <v>2026</v>
      </c>
      <c r="C44" t="s">
        <v>67</v>
      </c>
      <c r="D44" t="s">
        <v>61</v>
      </c>
      <c r="E44">
        <v>65</v>
      </c>
      <c r="F44">
        <v>69</v>
      </c>
      <c r="G44">
        <v>464524</v>
      </c>
      <c r="H44">
        <v>2082</v>
      </c>
      <c r="I44">
        <v>472551</v>
      </c>
      <c r="J44">
        <v>11717</v>
      </c>
      <c r="K44">
        <v>2.4795207289795181E-2</v>
      </c>
    </row>
    <row r="45" spans="1:11" x14ac:dyDescent="0.25">
      <c r="A45">
        <v>3</v>
      </c>
      <c r="B45">
        <v>2026</v>
      </c>
      <c r="C45" t="s">
        <v>67</v>
      </c>
      <c r="D45" t="s">
        <v>62</v>
      </c>
      <c r="E45">
        <v>70</v>
      </c>
      <c r="F45">
        <v>74</v>
      </c>
      <c r="G45">
        <v>1001387</v>
      </c>
      <c r="H45">
        <v>5545</v>
      </c>
      <c r="I45">
        <v>1021748</v>
      </c>
      <c r="J45">
        <v>30833</v>
      </c>
      <c r="K45">
        <v>3.017671676382043E-2</v>
      </c>
    </row>
    <row r="46" spans="1:11" x14ac:dyDescent="0.25">
      <c r="A46">
        <v>3</v>
      </c>
      <c r="B46">
        <v>2026</v>
      </c>
      <c r="C46" t="s">
        <v>67</v>
      </c>
      <c r="D46" t="s">
        <v>63</v>
      </c>
      <c r="E46">
        <v>75</v>
      </c>
      <c r="F46">
        <v>79</v>
      </c>
      <c r="G46">
        <v>1098999</v>
      </c>
      <c r="H46">
        <v>7614</v>
      </c>
      <c r="I46">
        <v>1117755</v>
      </c>
      <c r="J46">
        <v>35744</v>
      </c>
      <c r="K46">
        <v>3.1978385245424977E-2</v>
      </c>
    </row>
    <row r="47" spans="1:11" x14ac:dyDescent="0.25">
      <c r="A47">
        <v>3</v>
      </c>
      <c r="B47">
        <v>2026</v>
      </c>
      <c r="C47" t="s">
        <v>67</v>
      </c>
      <c r="D47" t="s">
        <v>64</v>
      </c>
      <c r="E47">
        <v>80</v>
      </c>
      <c r="F47">
        <v>84</v>
      </c>
      <c r="G47">
        <v>949454</v>
      </c>
      <c r="H47">
        <v>8149</v>
      </c>
      <c r="I47">
        <v>992486</v>
      </c>
      <c r="J47">
        <v>65756</v>
      </c>
      <c r="K47">
        <v>6.6253831288300286E-2</v>
      </c>
    </row>
    <row r="48" spans="1:11" x14ac:dyDescent="0.25">
      <c r="A48">
        <v>3</v>
      </c>
      <c r="B48">
        <v>2026</v>
      </c>
      <c r="C48" t="s">
        <v>67</v>
      </c>
      <c r="D48" t="s">
        <v>65</v>
      </c>
      <c r="E48">
        <v>85</v>
      </c>
      <c r="F48">
        <v>89</v>
      </c>
      <c r="G48">
        <v>724712</v>
      </c>
      <c r="H48">
        <v>7997</v>
      </c>
      <c r="I48">
        <v>799225</v>
      </c>
      <c r="J48">
        <v>104661</v>
      </c>
      <c r="K48">
        <v>0.1309531108261128</v>
      </c>
    </row>
    <row r="49" spans="1:11" x14ac:dyDescent="0.25">
      <c r="A49">
        <v>3</v>
      </c>
      <c r="B49">
        <v>2026</v>
      </c>
      <c r="C49" t="s">
        <v>67</v>
      </c>
      <c r="D49" t="s">
        <v>66</v>
      </c>
      <c r="E49">
        <v>90</v>
      </c>
      <c r="G49">
        <v>1700145</v>
      </c>
      <c r="H49">
        <v>27115</v>
      </c>
      <c r="I49">
        <v>1766142</v>
      </c>
      <c r="J49">
        <v>262153</v>
      </c>
      <c r="K49">
        <v>0.14843257223937831</v>
      </c>
    </row>
    <row r="50" spans="1:11" x14ac:dyDescent="0.25">
      <c r="A50">
        <v>3</v>
      </c>
      <c r="B50">
        <v>2026</v>
      </c>
      <c r="C50" t="s">
        <v>68</v>
      </c>
      <c r="D50" t="s">
        <v>61</v>
      </c>
      <c r="E50">
        <v>65</v>
      </c>
      <c r="F50">
        <v>69</v>
      </c>
      <c r="G50">
        <v>436157</v>
      </c>
      <c r="H50">
        <v>1989</v>
      </c>
      <c r="I50">
        <v>442617</v>
      </c>
      <c r="J50">
        <v>10790</v>
      </c>
      <c r="K50">
        <v>2.437773515251335E-2</v>
      </c>
    </row>
    <row r="51" spans="1:11" x14ac:dyDescent="0.25">
      <c r="A51">
        <v>3</v>
      </c>
      <c r="B51">
        <v>2026</v>
      </c>
      <c r="C51" t="s">
        <v>68</v>
      </c>
      <c r="D51" t="s">
        <v>62</v>
      </c>
      <c r="E51">
        <v>70</v>
      </c>
      <c r="F51">
        <v>74</v>
      </c>
      <c r="G51">
        <v>952741</v>
      </c>
      <c r="H51">
        <v>4983</v>
      </c>
      <c r="I51">
        <v>968381</v>
      </c>
      <c r="J51">
        <v>28089</v>
      </c>
      <c r="K51">
        <v>2.900614530850977E-2</v>
      </c>
    </row>
    <row r="52" spans="1:11" x14ac:dyDescent="0.25">
      <c r="A52">
        <v>3</v>
      </c>
      <c r="B52">
        <v>2026</v>
      </c>
      <c r="C52" t="s">
        <v>68</v>
      </c>
      <c r="D52" t="s">
        <v>63</v>
      </c>
      <c r="E52">
        <v>75</v>
      </c>
      <c r="F52">
        <v>79</v>
      </c>
      <c r="G52">
        <v>1033028</v>
      </c>
      <c r="H52">
        <v>7117</v>
      </c>
      <c r="I52">
        <v>1046249</v>
      </c>
      <c r="J52">
        <v>32934</v>
      </c>
      <c r="K52">
        <v>3.1478166287375188E-2</v>
      </c>
    </row>
    <row r="53" spans="1:11" x14ac:dyDescent="0.25">
      <c r="A53">
        <v>3</v>
      </c>
      <c r="B53">
        <v>2026</v>
      </c>
      <c r="C53" t="s">
        <v>68</v>
      </c>
      <c r="D53" t="s">
        <v>64</v>
      </c>
      <c r="E53">
        <v>80</v>
      </c>
      <c r="F53">
        <v>84</v>
      </c>
      <c r="G53">
        <v>845118</v>
      </c>
      <c r="H53">
        <v>7118</v>
      </c>
      <c r="I53">
        <v>865979</v>
      </c>
      <c r="J53">
        <v>45763</v>
      </c>
      <c r="K53">
        <v>5.2845392324756137E-2</v>
      </c>
    </row>
    <row r="54" spans="1:11" x14ac:dyDescent="0.25">
      <c r="A54">
        <v>3</v>
      </c>
      <c r="B54">
        <v>2026</v>
      </c>
      <c r="C54" t="s">
        <v>68</v>
      </c>
      <c r="D54" t="s">
        <v>65</v>
      </c>
      <c r="E54">
        <v>85</v>
      </c>
      <c r="F54">
        <v>89</v>
      </c>
      <c r="G54">
        <v>569047</v>
      </c>
      <c r="H54">
        <v>6118</v>
      </c>
      <c r="I54">
        <v>600387</v>
      </c>
      <c r="J54">
        <v>60219</v>
      </c>
      <c r="K54">
        <v>0.1003003063024349</v>
      </c>
    </row>
    <row r="55" spans="1:11" x14ac:dyDescent="0.25">
      <c r="A55">
        <v>3</v>
      </c>
      <c r="B55">
        <v>2026</v>
      </c>
      <c r="C55" t="s">
        <v>68</v>
      </c>
      <c r="D55" t="s">
        <v>66</v>
      </c>
      <c r="E55">
        <v>90</v>
      </c>
      <c r="G55">
        <v>1290853</v>
      </c>
      <c r="H55">
        <v>20621</v>
      </c>
      <c r="I55">
        <v>1273213</v>
      </c>
      <c r="J55">
        <v>150855</v>
      </c>
      <c r="K55">
        <v>0.1184837101097774</v>
      </c>
    </row>
    <row r="56" spans="1:11" x14ac:dyDescent="0.25">
      <c r="A56">
        <v>4</v>
      </c>
      <c r="B56">
        <v>2027</v>
      </c>
      <c r="C56" t="s">
        <v>60</v>
      </c>
      <c r="D56" t="s">
        <v>61</v>
      </c>
      <c r="E56">
        <v>65</v>
      </c>
      <c r="F56">
        <v>69</v>
      </c>
      <c r="G56">
        <v>585175</v>
      </c>
      <c r="H56">
        <v>2625</v>
      </c>
      <c r="I56">
        <v>593285</v>
      </c>
      <c r="J56">
        <v>13339</v>
      </c>
      <c r="K56">
        <v>2.2483292178295419E-2</v>
      </c>
    </row>
    <row r="57" spans="1:11" x14ac:dyDescent="0.25">
      <c r="A57">
        <v>4</v>
      </c>
      <c r="B57">
        <v>2027</v>
      </c>
      <c r="C57" t="s">
        <v>60</v>
      </c>
      <c r="D57" t="s">
        <v>62</v>
      </c>
      <c r="E57">
        <v>70</v>
      </c>
      <c r="F57">
        <v>74</v>
      </c>
      <c r="G57">
        <v>2019289</v>
      </c>
      <c r="H57">
        <v>10759</v>
      </c>
      <c r="I57">
        <v>2060488</v>
      </c>
      <c r="J57">
        <v>64571</v>
      </c>
      <c r="K57">
        <v>3.1337721937715723E-2</v>
      </c>
    </row>
    <row r="58" spans="1:11" x14ac:dyDescent="0.25">
      <c r="A58">
        <v>4</v>
      </c>
      <c r="B58">
        <v>2027</v>
      </c>
      <c r="C58" t="s">
        <v>60</v>
      </c>
      <c r="D58" t="s">
        <v>63</v>
      </c>
      <c r="E58">
        <v>75</v>
      </c>
      <c r="F58">
        <v>79</v>
      </c>
      <c r="G58">
        <v>2203411</v>
      </c>
      <c r="H58">
        <v>15281</v>
      </c>
      <c r="I58">
        <v>2243269</v>
      </c>
      <c r="J58">
        <v>77506</v>
      </c>
      <c r="K58">
        <v>3.4550470763871827E-2</v>
      </c>
    </row>
    <row r="59" spans="1:11" x14ac:dyDescent="0.25">
      <c r="A59">
        <v>4</v>
      </c>
      <c r="B59">
        <v>2027</v>
      </c>
      <c r="C59" t="s">
        <v>60</v>
      </c>
      <c r="D59" t="s">
        <v>64</v>
      </c>
      <c r="E59">
        <v>80</v>
      </c>
      <c r="F59">
        <v>84</v>
      </c>
      <c r="G59">
        <v>2023738</v>
      </c>
      <c r="H59">
        <v>17772</v>
      </c>
      <c r="I59">
        <v>2072474</v>
      </c>
      <c r="J59">
        <v>103015</v>
      </c>
      <c r="K59">
        <v>4.9706293058441257E-2</v>
      </c>
    </row>
    <row r="60" spans="1:11" x14ac:dyDescent="0.25">
      <c r="A60">
        <v>4</v>
      </c>
      <c r="B60">
        <v>2027</v>
      </c>
      <c r="C60" t="s">
        <v>60</v>
      </c>
      <c r="D60" t="s">
        <v>65</v>
      </c>
      <c r="E60">
        <v>85</v>
      </c>
      <c r="F60">
        <v>89</v>
      </c>
      <c r="G60">
        <v>1352903</v>
      </c>
      <c r="H60">
        <v>14724</v>
      </c>
      <c r="I60">
        <v>1452159</v>
      </c>
      <c r="J60">
        <v>160627</v>
      </c>
      <c r="K60">
        <v>0.11061254311683499</v>
      </c>
    </row>
    <row r="61" spans="1:11" x14ac:dyDescent="0.25">
      <c r="A61">
        <v>4</v>
      </c>
      <c r="B61">
        <v>2027</v>
      </c>
      <c r="C61" t="s">
        <v>60</v>
      </c>
      <c r="D61" t="s">
        <v>66</v>
      </c>
      <c r="E61">
        <v>90</v>
      </c>
      <c r="G61">
        <v>3059395</v>
      </c>
      <c r="H61">
        <v>49269</v>
      </c>
      <c r="I61">
        <v>3103325</v>
      </c>
      <c r="J61">
        <v>415196</v>
      </c>
      <c r="K61">
        <v>0.13379069224138629</v>
      </c>
    </row>
    <row r="62" spans="1:11" x14ac:dyDescent="0.25">
      <c r="A62">
        <v>4</v>
      </c>
      <c r="B62">
        <v>2027</v>
      </c>
      <c r="C62" t="s">
        <v>67</v>
      </c>
      <c r="D62" t="s">
        <v>61</v>
      </c>
      <c r="E62">
        <v>65</v>
      </c>
      <c r="F62">
        <v>69</v>
      </c>
      <c r="G62">
        <v>305372</v>
      </c>
      <c r="H62">
        <v>1381</v>
      </c>
      <c r="I62">
        <v>309895</v>
      </c>
      <c r="J62">
        <v>6975</v>
      </c>
      <c r="K62">
        <v>2.2507623549912072E-2</v>
      </c>
    </row>
    <row r="63" spans="1:11" x14ac:dyDescent="0.25">
      <c r="A63">
        <v>4</v>
      </c>
      <c r="B63">
        <v>2027</v>
      </c>
      <c r="C63" t="s">
        <v>67</v>
      </c>
      <c r="D63" t="s">
        <v>62</v>
      </c>
      <c r="E63">
        <v>70</v>
      </c>
      <c r="F63">
        <v>74</v>
      </c>
      <c r="G63">
        <v>1038432</v>
      </c>
      <c r="H63">
        <v>5498</v>
      </c>
      <c r="I63">
        <v>1061500</v>
      </c>
      <c r="J63">
        <v>33682</v>
      </c>
      <c r="K63">
        <v>3.1730569948186529E-2</v>
      </c>
    </row>
    <row r="64" spans="1:11" x14ac:dyDescent="0.25">
      <c r="A64">
        <v>4</v>
      </c>
      <c r="B64">
        <v>2027</v>
      </c>
      <c r="C64" t="s">
        <v>67</v>
      </c>
      <c r="D64" t="s">
        <v>63</v>
      </c>
      <c r="E64">
        <v>75</v>
      </c>
      <c r="F64">
        <v>79</v>
      </c>
      <c r="G64">
        <v>1138963</v>
      </c>
      <c r="H64">
        <v>7863</v>
      </c>
      <c r="I64">
        <v>1161950</v>
      </c>
      <c r="J64">
        <v>40292</v>
      </c>
      <c r="K64">
        <v>3.4676190886010587E-2</v>
      </c>
    </row>
    <row r="65" spans="1:11" x14ac:dyDescent="0.25">
      <c r="A65">
        <v>4</v>
      </c>
      <c r="B65">
        <v>2027</v>
      </c>
      <c r="C65" t="s">
        <v>67</v>
      </c>
      <c r="D65" t="s">
        <v>64</v>
      </c>
      <c r="E65">
        <v>80</v>
      </c>
      <c r="F65">
        <v>84</v>
      </c>
      <c r="G65">
        <v>1061167</v>
      </c>
      <c r="H65">
        <v>9405</v>
      </c>
      <c r="I65">
        <v>1092889</v>
      </c>
      <c r="J65">
        <v>57304</v>
      </c>
      <c r="K65">
        <v>5.2433504225955253E-2</v>
      </c>
    </row>
    <row r="66" spans="1:11" x14ac:dyDescent="0.25">
      <c r="A66">
        <v>4</v>
      </c>
      <c r="B66">
        <v>2027</v>
      </c>
      <c r="C66" t="s">
        <v>67</v>
      </c>
      <c r="D66" t="s">
        <v>65</v>
      </c>
      <c r="E66">
        <v>85</v>
      </c>
      <c r="F66">
        <v>89</v>
      </c>
      <c r="G66">
        <v>758328</v>
      </c>
      <c r="H66">
        <v>8234</v>
      </c>
      <c r="I66">
        <v>828152</v>
      </c>
      <c r="J66">
        <v>100953</v>
      </c>
      <c r="K66">
        <v>0.121901534983916</v>
      </c>
    </row>
    <row r="67" spans="1:11" x14ac:dyDescent="0.25">
      <c r="A67">
        <v>4</v>
      </c>
      <c r="B67">
        <v>2027</v>
      </c>
      <c r="C67" t="s">
        <v>67</v>
      </c>
      <c r="D67" t="s">
        <v>66</v>
      </c>
      <c r="E67">
        <v>90</v>
      </c>
      <c r="G67">
        <v>1743397</v>
      </c>
      <c r="H67">
        <v>28111</v>
      </c>
      <c r="I67">
        <v>1804173</v>
      </c>
      <c r="J67">
        <v>261000</v>
      </c>
      <c r="K67">
        <v>0.1446646191911751</v>
      </c>
    </row>
    <row r="68" spans="1:11" x14ac:dyDescent="0.25">
      <c r="A68">
        <v>4</v>
      </c>
      <c r="B68">
        <v>2027</v>
      </c>
      <c r="C68" t="s">
        <v>68</v>
      </c>
      <c r="D68" t="s">
        <v>61</v>
      </c>
      <c r="E68">
        <v>65</v>
      </c>
      <c r="F68">
        <v>69</v>
      </c>
      <c r="G68">
        <v>279803</v>
      </c>
      <c r="H68">
        <v>1244</v>
      </c>
      <c r="I68">
        <v>283390</v>
      </c>
      <c r="J68">
        <v>6364</v>
      </c>
      <c r="K68">
        <v>2.245668513356152E-2</v>
      </c>
    </row>
    <row r="69" spans="1:11" x14ac:dyDescent="0.25">
      <c r="A69">
        <v>4</v>
      </c>
      <c r="B69">
        <v>2027</v>
      </c>
      <c r="C69" t="s">
        <v>68</v>
      </c>
      <c r="D69" t="s">
        <v>62</v>
      </c>
      <c r="E69">
        <v>70</v>
      </c>
      <c r="F69">
        <v>74</v>
      </c>
      <c r="G69">
        <v>980857</v>
      </c>
      <c r="H69">
        <v>5261</v>
      </c>
      <c r="I69">
        <v>998988</v>
      </c>
      <c r="J69">
        <v>30889</v>
      </c>
      <c r="K69">
        <v>3.092029133483085E-2</v>
      </c>
    </row>
    <row r="70" spans="1:11" x14ac:dyDescent="0.25">
      <c r="A70">
        <v>4</v>
      </c>
      <c r="B70">
        <v>2027</v>
      </c>
      <c r="C70" t="s">
        <v>68</v>
      </c>
      <c r="D70" t="s">
        <v>63</v>
      </c>
      <c r="E70">
        <v>75</v>
      </c>
      <c r="F70">
        <v>79</v>
      </c>
      <c r="G70">
        <v>1064448</v>
      </c>
      <c r="H70">
        <v>7418</v>
      </c>
      <c r="I70">
        <v>1081319</v>
      </c>
      <c r="J70">
        <v>37214</v>
      </c>
      <c r="K70">
        <v>3.4415376036118848E-2</v>
      </c>
    </row>
    <row r="71" spans="1:11" x14ac:dyDescent="0.25">
      <c r="A71">
        <v>4</v>
      </c>
      <c r="B71">
        <v>2027</v>
      </c>
      <c r="C71" t="s">
        <v>68</v>
      </c>
      <c r="D71" t="s">
        <v>64</v>
      </c>
      <c r="E71">
        <v>80</v>
      </c>
      <c r="F71">
        <v>84</v>
      </c>
      <c r="G71">
        <v>962571</v>
      </c>
      <c r="H71">
        <v>8367</v>
      </c>
      <c r="I71">
        <v>979585</v>
      </c>
      <c r="J71">
        <v>45711</v>
      </c>
      <c r="K71">
        <v>4.6663638173308077E-2</v>
      </c>
    </row>
    <row r="72" spans="1:11" x14ac:dyDescent="0.25">
      <c r="A72">
        <v>4</v>
      </c>
      <c r="B72">
        <v>2027</v>
      </c>
      <c r="C72" t="s">
        <v>68</v>
      </c>
      <c r="D72" t="s">
        <v>65</v>
      </c>
      <c r="E72">
        <v>85</v>
      </c>
      <c r="F72">
        <v>89</v>
      </c>
      <c r="G72">
        <v>594575</v>
      </c>
      <c r="H72">
        <v>6490</v>
      </c>
      <c r="I72">
        <v>624007</v>
      </c>
      <c r="J72">
        <v>59674</v>
      </c>
      <c r="K72">
        <v>9.5630337480188524E-2</v>
      </c>
    </row>
    <row r="73" spans="1:11" x14ac:dyDescent="0.25">
      <c r="A73">
        <v>4</v>
      </c>
      <c r="B73">
        <v>2027</v>
      </c>
      <c r="C73" t="s">
        <v>68</v>
      </c>
      <c r="D73" t="s">
        <v>66</v>
      </c>
      <c r="E73">
        <v>90</v>
      </c>
      <c r="G73">
        <v>1315998</v>
      </c>
      <c r="H73">
        <v>21158</v>
      </c>
      <c r="I73">
        <v>1299152</v>
      </c>
      <c r="J73">
        <v>154196</v>
      </c>
      <c r="K73">
        <v>0.1186897299161299</v>
      </c>
    </row>
    <row r="74" spans="1:11" x14ac:dyDescent="0.25">
      <c r="A74">
        <v>5</v>
      </c>
      <c r="B74">
        <v>2028</v>
      </c>
      <c r="C74" t="s">
        <v>60</v>
      </c>
      <c r="D74" t="s">
        <v>61</v>
      </c>
      <c r="E74">
        <v>65</v>
      </c>
      <c r="F74">
        <v>69</v>
      </c>
      <c r="G74">
        <v>260493</v>
      </c>
      <c r="H74">
        <v>1116</v>
      </c>
      <c r="I74">
        <v>260814</v>
      </c>
      <c r="J74">
        <v>2505</v>
      </c>
      <c r="K74">
        <v>9.6045457682486374E-3</v>
      </c>
    </row>
    <row r="75" spans="1:11" x14ac:dyDescent="0.25">
      <c r="A75">
        <v>5</v>
      </c>
      <c r="B75">
        <v>2028</v>
      </c>
      <c r="C75" t="s">
        <v>60</v>
      </c>
      <c r="D75" t="s">
        <v>62</v>
      </c>
      <c r="E75">
        <v>70</v>
      </c>
      <c r="F75">
        <v>74</v>
      </c>
      <c r="G75">
        <v>2084608</v>
      </c>
      <c r="H75">
        <v>11265</v>
      </c>
      <c r="I75">
        <v>2130016</v>
      </c>
      <c r="J75">
        <v>69594</v>
      </c>
      <c r="K75">
        <v>3.2672994005678829E-2</v>
      </c>
    </row>
    <row r="76" spans="1:11" x14ac:dyDescent="0.25">
      <c r="A76">
        <v>5</v>
      </c>
      <c r="B76">
        <v>2028</v>
      </c>
      <c r="C76" t="s">
        <v>60</v>
      </c>
      <c r="D76" t="s">
        <v>63</v>
      </c>
      <c r="E76">
        <v>75</v>
      </c>
      <c r="F76">
        <v>79</v>
      </c>
      <c r="G76">
        <v>2257519</v>
      </c>
      <c r="H76">
        <v>15759</v>
      </c>
      <c r="I76">
        <v>2303273</v>
      </c>
      <c r="J76">
        <v>84600</v>
      </c>
      <c r="K76">
        <v>3.6730339825109752E-2</v>
      </c>
    </row>
    <row r="77" spans="1:11" x14ac:dyDescent="0.25">
      <c r="A77">
        <v>5</v>
      </c>
      <c r="B77">
        <v>2028</v>
      </c>
      <c r="C77" t="s">
        <v>60</v>
      </c>
      <c r="D77" t="s">
        <v>64</v>
      </c>
      <c r="E77">
        <v>80</v>
      </c>
      <c r="F77">
        <v>84</v>
      </c>
      <c r="G77">
        <v>2256639</v>
      </c>
      <c r="H77">
        <v>19604</v>
      </c>
      <c r="I77">
        <v>2298065</v>
      </c>
      <c r="J77">
        <v>101352</v>
      </c>
      <c r="K77">
        <v>4.4103191163000183E-2</v>
      </c>
    </row>
    <row r="78" spans="1:11" x14ac:dyDescent="0.25">
      <c r="A78">
        <v>5</v>
      </c>
      <c r="B78">
        <v>2028</v>
      </c>
      <c r="C78" t="s">
        <v>60</v>
      </c>
      <c r="D78" t="s">
        <v>65</v>
      </c>
      <c r="E78">
        <v>85</v>
      </c>
      <c r="F78">
        <v>89</v>
      </c>
      <c r="G78">
        <v>1420190</v>
      </c>
      <c r="H78">
        <v>15713</v>
      </c>
      <c r="I78">
        <v>1513399</v>
      </c>
      <c r="J78">
        <v>156578</v>
      </c>
      <c r="K78">
        <v>0.1034611493730338</v>
      </c>
    </row>
    <row r="79" spans="1:11" x14ac:dyDescent="0.25">
      <c r="A79">
        <v>5</v>
      </c>
      <c r="B79">
        <v>2028</v>
      </c>
      <c r="C79" t="s">
        <v>60</v>
      </c>
      <c r="D79" t="s">
        <v>66</v>
      </c>
      <c r="E79">
        <v>90</v>
      </c>
      <c r="G79">
        <v>3132224</v>
      </c>
      <c r="H79">
        <v>50700</v>
      </c>
      <c r="I79">
        <v>3169960</v>
      </c>
      <c r="J79">
        <v>414831</v>
      </c>
      <c r="K79">
        <v>0.13086316546581031</v>
      </c>
    </row>
    <row r="80" spans="1:11" x14ac:dyDescent="0.25">
      <c r="A80">
        <v>5</v>
      </c>
      <c r="B80">
        <v>2028</v>
      </c>
      <c r="C80" t="s">
        <v>67</v>
      </c>
      <c r="D80" t="s">
        <v>61</v>
      </c>
      <c r="E80">
        <v>65</v>
      </c>
      <c r="F80">
        <v>69</v>
      </c>
      <c r="G80">
        <v>140309</v>
      </c>
      <c r="H80">
        <v>575</v>
      </c>
      <c r="I80">
        <v>140627</v>
      </c>
      <c r="J80">
        <v>1342</v>
      </c>
      <c r="K80">
        <v>9.542975388794471E-3</v>
      </c>
    </row>
    <row r="81" spans="1:11" x14ac:dyDescent="0.25">
      <c r="A81">
        <v>5</v>
      </c>
      <c r="B81">
        <v>2028</v>
      </c>
      <c r="C81" t="s">
        <v>67</v>
      </c>
      <c r="D81" t="s">
        <v>62</v>
      </c>
      <c r="E81">
        <v>70</v>
      </c>
      <c r="F81">
        <v>74</v>
      </c>
      <c r="G81">
        <v>1075676</v>
      </c>
      <c r="H81">
        <v>5690</v>
      </c>
      <c r="I81">
        <v>1100827</v>
      </c>
      <c r="J81">
        <v>36087</v>
      </c>
      <c r="K81">
        <v>3.2781717744931757E-2</v>
      </c>
    </row>
    <row r="82" spans="1:11" x14ac:dyDescent="0.25">
      <c r="A82">
        <v>5</v>
      </c>
      <c r="B82">
        <v>2028</v>
      </c>
      <c r="C82" t="s">
        <v>67</v>
      </c>
      <c r="D82" t="s">
        <v>63</v>
      </c>
      <c r="E82">
        <v>75</v>
      </c>
      <c r="F82">
        <v>79</v>
      </c>
      <c r="G82">
        <v>1170127</v>
      </c>
      <c r="H82">
        <v>8175</v>
      </c>
      <c r="I82">
        <v>1196308</v>
      </c>
      <c r="J82">
        <v>44097</v>
      </c>
      <c r="K82">
        <v>3.6860908729190137E-2</v>
      </c>
    </row>
    <row r="83" spans="1:11" x14ac:dyDescent="0.25">
      <c r="A83">
        <v>5</v>
      </c>
      <c r="B83">
        <v>2028</v>
      </c>
      <c r="C83" t="s">
        <v>67</v>
      </c>
      <c r="D83" t="s">
        <v>64</v>
      </c>
      <c r="E83">
        <v>80</v>
      </c>
      <c r="F83">
        <v>84</v>
      </c>
      <c r="G83">
        <v>1176426</v>
      </c>
      <c r="H83">
        <v>10146</v>
      </c>
      <c r="I83">
        <v>1201343</v>
      </c>
      <c r="J83">
        <v>52835</v>
      </c>
      <c r="K83">
        <v>4.397994577735085E-2</v>
      </c>
    </row>
    <row r="84" spans="1:11" x14ac:dyDescent="0.25">
      <c r="A84">
        <v>5</v>
      </c>
      <c r="B84">
        <v>2028</v>
      </c>
      <c r="C84" t="s">
        <v>67</v>
      </c>
      <c r="D84" t="s">
        <v>65</v>
      </c>
      <c r="E84">
        <v>85</v>
      </c>
      <c r="F84">
        <v>89</v>
      </c>
      <c r="G84">
        <v>795838</v>
      </c>
      <c r="H84">
        <v>8824</v>
      </c>
      <c r="I84">
        <v>860807</v>
      </c>
      <c r="J84">
        <v>97267</v>
      </c>
      <c r="K84">
        <v>0.11299513131282619</v>
      </c>
    </row>
    <row r="85" spans="1:11" x14ac:dyDescent="0.25">
      <c r="A85">
        <v>5</v>
      </c>
      <c r="B85">
        <v>2028</v>
      </c>
      <c r="C85" t="s">
        <v>67</v>
      </c>
      <c r="D85" t="s">
        <v>66</v>
      </c>
      <c r="E85">
        <v>90</v>
      </c>
      <c r="G85">
        <v>1789297</v>
      </c>
      <c r="H85">
        <v>29067</v>
      </c>
      <c r="I85">
        <v>1843890</v>
      </c>
      <c r="J85">
        <v>258557</v>
      </c>
      <c r="K85">
        <v>0.14022365759345731</v>
      </c>
    </row>
    <row r="86" spans="1:11" x14ac:dyDescent="0.25">
      <c r="A86">
        <v>5</v>
      </c>
      <c r="B86">
        <v>2028</v>
      </c>
      <c r="C86" t="s">
        <v>68</v>
      </c>
      <c r="D86" t="s">
        <v>61</v>
      </c>
      <c r="E86">
        <v>65</v>
      </c>
      <c r="F86">
        <v>69</v>
      </c>
      <c r="G86">
        <v>120184</v>
      </c>
      <c r="H86">
        <v>541</v>
      </c>
      <c r="I86">
        <v>120187</v>
      </c>
      <c r="J86">
        <v>1163</v>
      </c>
      <c r="K86">
        <v>9.6765873180959666E-3</v>
      </c>
    </row>
    <row r="87" spans="1:11" x14ac:dyDescent="0.25">
      <c r="A87">
        <v>5</v>
      </c>
      <c r="B87">
        <v>2028</v>
      </c>
      <c r="C87" t="s">
        <v>68</v>
      </c>
      <c r="D87" t="s">
        <v>62</v>
      </c>
      <c r="E87">
        <v>70</v>
      </c>
      <c r="F87">
        <v>74</v>
      </c>
      <c r="G87">
        <v>1008932</v>
      </c>
      <c r="H87">
        <v>5575</v>
      </c>
      <c r="I87">
        <v>1029189</v>
      </c>
      <c r="J87">
        <v>33507</v>
      </c>
      <c r="K87">
        <v>3.2556702413259371E-2</v>
      </c>
    </row>
    <row r="88" spans="1:11" x14ac:dyDescent="0.25">
      <c r="A88">
        <v>5</v>
      </c>
      <c r="B88">
        <v>2028</v>
      </c>
      <c r="C88" t="s">
        <v>68</v>
      </c>
      <c r="D88" t="s">
        <v>63</v>
      </c>
      <c r="E88">
        <v>75</v>
      </c>
      <c r="F88">
        <v>79</v>
      </c>
      <c r="G88">
        <v>1087392</v>
      </c>
      <c r="H88">
        <v>7584</v>
      </c>
      <c r="I88">
        <v>1106965</v>
      </c>
      <c r="J88">
        <v>40503</v>
      </c>
      <c r="K88">
        <v>3.6589232721901767E-2</v>
      </c>
    </row>
    <row r="89" spans="1:11" x14ac:dyDescent="0.25">
      <c r="A89">
        <v>5</v>
      </c>
      <c r="B89">
        <v>2028</v>
      </c>
      <c r="C89" t="s">
        <v>68</v>
      </c>
      <c r="D89" t="s">
        <v>64</v>
      </c>
      <c r="E89">
        <v>80</v>
      </c>
      <c r="F89">
        <v>84</v>
      </c>
      <c r="G89">
        <v>1080213</v>
      </c>
      <c r="H89">
        <v>9458</v>
      </c>
      <c r="I89">
        <v>1096722</v>
      </c>
      <c r="J89">
        <v>48517</v>
      </c>
      <c r="K89">
        <v>4.4238193452853139E-2</v>
      </c>
    </row>
    <row r="90" spans="1:11" x14ac:dyDescent="0.25">
      <c r="A90">
        <v>5</v>
      </c>
      <c r="B90">
        <v>2028</v>
      </c>
      <c r="C90" t="s">
        <v>68</v>
      </c>
      <c r="D90" t="s">
        <v>65</v>
      </c>
      <c r="E90">
        <v>85</v>
      </c>
      <c r="F90">
        <v>89</v>
      </c>
      <c r="G90">
        <v>624352</v>
      </c>
      <c r="H90">
        <v>6889</v>
      </c>
      <c r="I90">
        <v>652592</v>
      </c>
      <c r="J90">
        <v>59311</v>
      </c>
      <c r="K90">
        <v>9.0885269816363051E-2</v>
      </c>
    </row>
    <row r="91" spans="1:11" x14ac:dyDescent="0.25">
      <c r="A91">
        <v>5</v>
      </c>
      <c r="B91">
        <v>2028</v>
      </c>
      <c r="C91" t="s">
        <v>68</v>
      </c>
      <c r="D91" t="s">
        <v>66</v>
      </c>
      <c r="E91">
        <v>90</v>
      </c>
      <c r="G91">
        <v>1342927</v>
      </c>
      <c r="H91">
        <v>21633</v>
      </c>
      <c r="I91">
        <v>1326070</v>
      </c>
      <c r="J91">
        <v>156274</v>
      </c>
      <c r="K91">
        <v>0.1178474741152428</v>
      </c>
    </row>
    <row r="92" spans="1:11" x14ac:dyDescent="0.25">
      <c r="A92">
        <v>6</v>
      </c>
      <c r="B92">
        <v>2029</v>
      </c>
      <c r="C92" t="s">
        <v>60</v>
      </c>
      <c r="D92" t="s">
        <v>61</v>
      </c>
      <c r="E92">
        <v>65</v>
      </c>
      <c r="F92">
        <v>69</v>
      </c>
      <c r="G92">
        <v>263876</v>
      </c>
      <c r="H92">
        <v>1190</v>
      </c>
      <c r="I92">
        <v>264234</v>
      </c>
      <c r="J92">
        <v>2614</v>
      </c>
      <c r="K92">
        <v>9.892746580682274E-3</v>
      </c>
    </row>
    <row r="93" spans="1:11" x14ac:dyDescent="0.25">
      <c r="A93">
        <v>6</v>
      </c>
      <c r="B93">
        <v>2029</v>
      </c>
      <c r="C93" t="s">
        <v>60</v>
      </c>
      <c r="D93" t="s">
        <v>62</v>
      </c>
      <c r="E93">
        <v>70</v>
      </c>
      <c r="F93">
        <v>74</v>
      </c>
      <c r="G93">
        <v>1815842</v>
      </c>
      <c r="H93">
        <v>9982</v>
      </c>
      <c r="I93">
        <v>1856392</v>
      </c>
      <c r="J93">
        <v>61887</v>
      </c>
      <c r="K93">
        <v>3.3337247736469462E-2</v>
      </c>
    </row>
    <row r="94" spans="1:11" x14ac:dyDescent="0.25">
      <c r="A94">
        <v>6</v>
      </c>
      <c r="B94">
        <v>2029</v>
      </c>
      <c r="C94" t="s">
        <v>60</v>
      </c>
      <c r="D94" t="s">
        <v>63</v>
      </c>
      <c r="E94">
        <v>75</v>
      </c>
      <c r="F94">
        <v>79</v>
      </c>
      <c r="G94">
        <v>2294680</v>
      </c>
      <c r="H94">
        <v>15725</v>
      </c>
      <c r="I94">
        <v>2346293</v>
      </c>
      <c r="J94">
        <v>90188</v>
      </c>
      <c r="K94">
        <v>3.8438507040680768E-2</v>
      </c>
    </row>
    <row r="95" spans="1:11" x14ac:dyDescent="0.25">
      <c r="A95">
        <v>6</v>
      </c>
      <c r="B95">
        <v>2029</v>
      </c>
      <c r="C95" t="s">
        <v>60</v>
      </c>
      <c r="D95" t="s">
        <v>64</v>
      </c>
      <c r="E95">
        <v>80</v>
      </c>
      <c r="F95">
        <v>84</v>
      </c>
      <c r="G95">
        <v>2379527</v>
      </c>
      <c r="H95">
        <v>20778</v>
      </c>
      <c r="I95">
        <v>2429704</v>
      </c>
      <c r="J95">
        <v>112733</v>
      </c>
      <c r="K95">
        <v>4.6397832822434343E-2</v>
      </c>
    </row>
    <row r="96" spans="1:11" x14ac:dyDescent="0.25">
      <c r="A96">
        <v>6</v>
      </c>
      <c r="B96">
        <v>2029</v>
      </c>
      <c r="C96" t="s">
        <v>60</v>
      </c>
      <c r="D96" t="s">
        <v>65</v>
      </c>
      <c r="E96">
        <v>85</v>
      </c>
      <c r="F96">
        <v>89</v>
      </c>
      <c r="G96">
        <v>1609706</v>
      </c>
      <c r="H96">
        <v>17358</v>
      </c>
      <c r="I96">
        <v>1685611</v>
      </c>
      <c r="J96">
        <v>145461</v>
      </c>
      <c r="K96">
        <v>8.6295711169421654E-2</v>
      </c>
    </row>
    <row r="97" spans="1:11" x14ac:dyDescent="0.25">
      <c r="A97">
        <v>6</v>
      </c>
      <c r="B97">
        <v>2029</v>
      </c>
      <c r="C97" t="s">
        <v>60</v>
      </c>
      <c r="D97" t="s">
        <v>66</v>
      </c>
      <c r="E97">
        <v>90</v>
      </c>
      <c r="G97">
        <v>3207623</v>
      </c>
      <c r="H97">
        <v>52628</v>
      </c>
      <c r="I97">
        <v>3239341</v>
      </c>
      <c r="J97">
        <v>414153</v>
      </c>
      <c r="K97">
        <v>0.12785100426290411</v>
      </c>
    </row>
    <row r="98" spans="1:11" x14ac:dyDescent="0.25">
      <c r="A98">
        <v>6</v>
      </c>
      <c r="B98">
        <v>2029</v>
      </c>
      <c r="C98" t="s">
        <v>67</v>
      </c>
      <c r="D98" t="s">
        <v>61</v>
      </c>
      <c r="E98">
        <v>65</v>
      </c>
      <c r="F98">
        <v>69</v>
      </c>
      <c r="G98">
        <v>142169</v>
      </c>
      <c r="H98">
        <v>628</v>
      </c>
      <c r="I98">
        <v>142512</v>
      </c>
      <c r="J98">
        <v>1394</v>
      </c>
      <c r="K98">
        <v>9.78163242393623E-3</v>
      </c>
    </row>
    <row r="99" spans="1:11" x14ac:dyDescent="0.25">
      <c r="A99">
        <v>6</v>
      </c>
      <c r="B99">
        <v>2029</v>
      </c>
      <c r="C99" t="s">
        <v>67</v>
      </c>
      <c r="D99" t="s">
        <v>62</v>
      </c>
      <c r="E99">
        <v>70</v>
      </c>
      <c r="F99">
        <v>74</v>
      </c>
      <c r="G99">
        <v>941853</v>
      </c>
      <c r="H99">
        <v>5230</v>
      </c>
      <c r="I99">
        <v>964170</v>
      </c>
      <c r="J99">
        <v>32198</v>
      </c>
      <c r="K99">
        <v>3.3394525861621907E-2</v>
      </c>
    </row>
    <row r="100" spans="1:11" x14ac:dyDescent="0.25">
      <c r="A100">
        <v>6</v>
      </c>
      <c r="B100">
        <v>2029</v>
      </c>
      <c r="C100" t="s">
        <v>67</v>
      </c>
      <c r="D100" t="s">
        <v>63</v>
      </c>
      <c r="E100">
        <v>75</v>
      </c>
      <c r="F100">
        <v>79</v>
      </c>
      <c r="G100">
        <v>1191855</v>
      </c>
      <c r="H100">
        <v>8162</v>
      </c>
      <c r="I100">
        <v>1221092</v>
      </c>
      <c r="J100">
        <v>47039</v>
      </c>
      <c r="K100">
        <v>3.8522076960622133E-2</v>
      </c>
    </row>
    <row r="101" spans="1:11" x14ac:dyDescent="0.25">
      <c r="A101">
        <v>6</v>
      </c>
      <c r="B101">
        <v>2029</v>
      </c>
      <c r="C101" t="s">
        <v>67</v>
      </c>
      <c r="D101" t="s">
        <v>64</v>
      </c>
      <c r="E101">
        <v>80</v>
      </c>
      <c r="F101">
        <v>84</v>
      </c>
      <c r="G101">
        <v>1245740</v>
      </c>
      <c r="H101">
        <v>10810</v>
      </c>
      <c r="I101">
        <v>1275502</v>
      </c>
      <c r="J101">
        <v>58844</v>
      </c>
      <c r="K101">
        <v>4.6133992733841257E-2</v>
      </c>
    </row>
    <row r="102" spans="1:11" x14ac:dyDescent="0.25">
      <c r="A102">
        <v>6</v>
      </c>
      <c r="B102">
        <v>2029</v>
      </c>
      <c r="C102" t="s">
        <v>67</v>
      </c>
      <c r="D102" t="s">
        <v>65</v>
      </c>
      <c r="E102">
        <v>85</v>
      </c>
      <c r="F102">
        <v>89</v>
      </c>
      <c r="G102">
        <v>886808</v>
      </c>
      <c r="H102">
        <v>9599</v>
      </c>
      <c r="I102">
        <v>939175</v>
      </c>
      <c r="J102">
        <v>87280</v>
      </c>
      <c r="K102">
        <v>9.2932627039689089E-2</v>
      </c>
    </row>
    <row r="103" spans="1:11" x14ac:dyDescent="0.25">
      <c r="A103">
        <v>6</v>
      </c>
      <c r="B103">
        <v>2029</v>
      </c>
      <c r="C103" t="s">
        <v>67</v>
      </c>
      <c r="D103" t="s">
        <v>66</v>
      </c>
      <c r="E103">
        <v>90</v>
      </c>
      <c r="G103">
        <v>1836030</v>
      </c>
      <c r="H103">
        <v>30367</v>
      </c>
      <c r="I103">
        <v>1884170</v>
      </c>
      <c r="J103">
        <v>255880</v>
      </c>
      <c r="K103">
        <v>0.1358051555857486</v>
      </c>
    </row>
    <row r="104" spans="1:11" x14ac:dyDescent="0.25">
      <c r="A104">
        <v>6</v>
      </c>
      <c r="B104">
        <v>2029</v>
      </c>
      <c r="C104" t="s">
        <v>68</v>
      </c>
      <c r="D104" t="s">
        <v>61</v>
      </c>
      <c r="E104">
        <v>65</v>
      </c>
      <c r="F104">
        <v>69</v>
      </c>
      <c r="G104">
        <v>121707</v>
      </c>
      <c r="H104">
        <v>562</v>
      </c>
      <c r="I104">
        <v>121722</v>
      </c>
      <c r="J104">
        <v>1220</v>
      </c>
      <c r="K104">
        <v>1.0022838928049159E-2</v>
      </c>
    </row>
    <row r="105" spans="1:11" x14ac:dyDescent="0.25">
      <c r="A105">
        <v>6</v>
      </c>
      <c r="B105">
        <v>2029</v>
      </c>
      <c r="C105" t="s">
        <v>68</v>
      </c>
      <c r="D105" t="s">
        <v>62</v>
      </c>
      <c r="E105">
        <v>70</v>
      </c>
      <c r="F105">
        <v>74</v>
      </c>
      <c r="G105">
        <v>873989</v>
      </c>
      <c r="H105">
        <v>4752</v>
      </c>
      <c r="I105">
        <v>892222</v>
      </c>
      <c r="J105">
        <v>29689</v>
      </c>
      <c r="K105">
        <v>3.3275350753512019E-2</v>
      </c>
    </row>
    <row r="106" spans="1:11" x14ac:dyDescent="0.25">
      <c r="A106">
        <v>6</v>
      </c>
      <c r="B106">
        <v>2029</v>
      </c>
      <c r="C106" t="s">
        <v>68</v>
      </c>
      <c r="D106" t="s">
        <v>63</v>
      </c>
      <c r="E106">
        <v>75</v>
      </c>
      <c r="F106">
        <v>79</v>
      </c>
      <c r="G106">
        <v>1102825</v>
      </c>
      <c r="H106">
        <v>7563</v>
      </c>
      <c r="I106">
        <v>1125201</v>
      </c>
      <c r="J106">
        <v>43149</v>
      </c>
      <c r="K106">
        <v>3.8347815190352658E-2</v>
      </c>
    </row>
    <row r="107" spans="1:11" x14ac:dyDescent="0.25">
      <c r="A107">
        <v>6</v>
      </c>
      <c r="B107">
        <v>2029</v>
      </c>
      <c r="C107" t="s">
        <v>68</v>
      </c>
      <c r="D107" t="s">
        <v>64</v>
      </c>
      <c r="E107">
        <v>80</v>
      </c>
      <c r="F107">
        <v>84</v>
      </c>
      <c r="G107">
        <v>1133787</v>
      </c>
      <c r="H107">
        <v>9968</v>
      </c>
      <c r="I107">
        <v>1154202</v>
      </c>
      <c r="J107">
        <v>53889</v>
      </c>
      <c r="K107">
        <v>4.6689400988735072E-2</v>
      </c>
    </row>
    <row r="108" spans="1:11" x14ac:dyDescent="0.25">
      <c r="A108">
        <v>6</v>
      </c>
      <c r="B108">
        <v>2029</v>
      </c>
      <c r="C108" t="s">
        <v>68</v>
      </c>
      <c r="D108" t="s">
        <v>65</v>
      </c>
      <c r="E108">
        <v>85</v>
      </c>
      <c r="F108">
        <v>89</v>
      </c>
      <c r="G108">
        <v>722898</v>
      </c>
      <c r="H108">
        <v>7759</v>
      </c>
      <c r="I108">
        <v>746436</v>
      </c>
      <c r="J108">
        <v>58181</v>
      </c>
      <c r="K108">
        <v>7.7945061599386953E-2</v>
      </c>
    </row>
    <row r="109" spans="1:11" x14ac:dyDescent="0.25">
      <c r="A109">
        <v>6</v>
      </c>
      <c r="B109">
        <v>2029</v>
      </c>
      <c r="C109" t="s">
        <v>68</v>
      </c>
      <c r="D109" t="s">
        <v>66</v>
      </c>
      <c r="E109">
        <v>90</v>
      </c>
      <c r="G109">
        <v>1371593</v>
      </c>
      <c r="H109">
        <v>22261</v>
      </c>
      <c r="I109">
        <v>1355171</v>
      </c>
      <c r="J109">
        <v>158273</v>
      </c>
      <c r="K109">
        <v>0.1167919030144535</v>
      </c>
    </row>
    <row r="110" spans="1:11" x14ac:dyDescent="0.25">
      <c r="A110">
        <v>7</v>
      </c>
      <c r="B110">
        <v>2030</v>
      </c>
      <c r="C110" t="s">
        <v>60</v>
      </c>
      <c r="D110" t="s">
        <v>61</v>
      </c>
      <c r="E110">
        <v>65</v>
      </c>
      <c r="F110">
        <v>69</v>
      </c>
      <c r="G110">
        <v>267059</v>
      </c>
      <c r="H110">
        <v>1116</v>
      </c>
      <c r="I110">
        <v>267464</v>
      </c>
      <c r="J110">
        <v>2559</v>
      </c>
      <c r="K110">
        <v>9.5676427481829335E-3</v>
      </c>
    </row>
    <row r="111" spans="1:11" x14ac:dyDescent="0.25">
      <c r="A111">
        <v>7</v>
      </c>
      <c r="B111">
        <v>2030</v>
      </c>
      <c r="C111" t="s">
        <v>60</v>
      </c>
      <c r="D111" t="s">
        <v>62</v>
      </c>
      <c r="E111">
        <v>70</v>
      </c>
      <c r="F111">
        <v>74</v>
      </c>
      <c r="G111">
        <v>1538235</v>
      </c>
      <c r="H111">
        <v>8511</v>
      </c>
      <c r="I111">
        <v>1572219</v>
      </c>
      <c r="J111">
        <v>52044</v>
      </c>
      <c r="K111">
        <v>3.3102258654805733E-2</v>
      </c>
    </row>
    <row r="112" spans="1:11" x14ac:dyDescent="0.25">
      <c r="A112">
        <v>7</v>
      </c>
      <c r="B112">
        <v>2030</v>
      </c>
      <c r="C112" t="s">
        <v>60</v>
      </c>
      <c r="D112" t="s">
        <v>63</v>
      </c>
      <c r="E112">
        <v>75</v>
      </c>
      <c r="F112">
        <v>79</v>
      </c>
      <c r="G112">
        <v>2334307</v>
      </c>
      <c r="H112">
        <v>16092</v>
      </c>
      <c r="I112">
        <v>2390353</v>
      </c>
      <c r="J112">
        <v>95208</v>
      </c>
      <c r="K112">
        <v>3.9830100407764038E-2</v>
      </c>
    </row>
    <row r="113" spans="1:11" x14ac:dyDescent="0.25">
      <c r="A113">
        <v>7</v>
      </c>
      <c r="B113">
        <v>2030</v>
      </c>
      <c r="C113" t="s">
        <v>60</v>
      </c>
      <c r="D113" t="s">
        <v>64</v>
      </c>
      <c r="E113">
        <v>80</v>
      </c>
      <c r="F113">
        <v>84</v>
      </c>
      <c r="G113">
        <v>2484564</v>
      </c>
      <c r="H113">
        <v>21542</v>
      </c>
      <c r="I113">
        <v>2541942</v>
      </c>
      <c r="J113">
        <v>122466</v>
      </c>
      <c r="K113">
        <v>4.8178125228663757E-2</v>
      </c>
    </row>
    <row r="114" spans="1:11" x14ac:dyDescent="0.25">
      <c r="A114">
        <v>7</v>
      </c>
      <c r="B114">
        <v>2030</v>
      </c>
      <c r="C114" t="s">
        <v>60</v>
      </c>
      <c r="D114" t="s">
        <v>65</v>
      </c>
      <c r="E114">
        <v>85</v>
      </c>
      <c r="F114">
        <v>89</v>
      </c>
      <c r="G114">
        <v>1806736</v>
      </c>
      <c r="H114">
        <v>19653</v>
      </c>
      <c r="I114">
        <v>1871627</v>
      </c>
      <c r="J114">
        <v>141726</v>
      </c>
      <c r="K114">
        <v>7.5723421386846845E-2</v>
      </c>
    </row>
    <row r="115" spans="1:11" x14ac:dyDescent="0.25">
      <c r="A115">
        <v>7</v>
      </c>
      <c r="B115">
        <v>2030</v>
      </c>
      <c r="C115" t="s">
        <v>60</v>
      </c>
      <c r="D115" t="s">
        <v>66</v>
      </c>
      <c r="E115">
        <v>90</v>
      </c>
      <c r="G115">
        <v>3293110</v>
      </c>
      <c r="H115">
        <v>54376</v>
      </c>
      <c r="I115">
        <v>3318559</v>
      </c>
      <c r="J115">
        <v>414029</v>
      </c>
      <c r="K115">
        <v>0.12476168119958091</v>
      </c>
    </row>
    <row r="116" spans="1:11" x14ac:dyDescent="0.25">
      <c r="A116">
        <v>7</v>
      </c>
      <c r="B116">
        <v>2030</v>
      </c>
      <c r="C116" t="s">
        <v>67</v>
      </c>
      <c r="D116" t="s">
        <v>61</v>
      </c>
      <c r="E116">
        <v>65</v>
      </c>
      <c r="F116">
        <v>69</v>
      </c>
      <c r="G116">
        <v>143849</v>
      </c>
      <c r="H116">
        <v>610</v>
      </c>
      <c r="I116">
        <v>144186</v>
      </c>
      <c r="J116">
        <v>1383</v>
      </c>
      <c r="K116">
        <v>9.5917772876700936E-3</v>
      </c>
    </row>
    <row r="117" spans="1:11" x14ac:dyDescent="0.25">
      <c r="A117">
        <v>7</v>
      </c>
      <c r="B117">
        <v>2030</v>
      </c>
      <c r="C117" t="s">
        <v>67</v>
      </c>
      <c r="D117" t="s">
        <v>62</v>
      </c>
      <c r="E117">
        <v>70</v>
      </c>
      <c r="F117">
        <v>74</v>
      </c>
      <c r="G117">
        <v>802289</v>
      </c>
      <c r="H117">
        <v>4455</v>
      </c>
      <c r="I117">
        <v>821022</v>
      </c>
      <c r="J117">
        <v>27091</v>
      </c>
      <c r="K117">
        <v>3.2996679747923932E-2</v>
      </c>
    </row>
    <row r="118" spans="1:11" x14ac:dyDescent="0.25">
      <c r="A118">
        <v>7</v>
      </c>
      <c r="B118">
        <v>2030</v>
      </c>
      <c r="C118" t="s">
        <v>67</v>
      </c>
      <c r="D118" t="s">
        <v>63</v>
      </c>
      <c r="E118">
        <v>75</v>
      </c>
      <c r="F118">
        <v>79</v>
      </c>
      <c r="G118">
        <v>1215956</v>
      </c>
      <c r="H118">
        <v>8436</v>
      </c>
      <c r="I118">
        <v>1247553</v>
      </c>
      <c r="J118">
        <v>49751</v>
      </c>
      <c r="K118">
        <v>3.9878866869784292E-2</v>
      </c>
    </row>
    <row r="119" spans="1:11" x14ac:dyDescent="0.25">
      <c r="A119">
        <v>7</v>
      </c>
      <c r="B119">
        <v>2030</v>
      </c>
      <c r="C119" t="s">
        <v>67</v>
      </c>
      <c r="D119" t="s">
        <v>64</v>
      </c>
      <c r="E119">
        <v>80</v>
      </c>
      <c r="F119">
        <v>84</v>
      </c>
      <c r="G119">
        <v>1305136</v>
      </c>
      <c r="H119">
        <v>11362</v>
      </c>
      <c r="I119">
        <v>1338749</v>
      </c>
      <c r="J119">
        <v>64209</v>
      </c>
      <c r="K119">
        <v>4.7961940587817442E-2</v>
      </c>
    </row>
    <row r="120" spans="1:11" x14ac:dyDescent="0.25">
      <c r="A120">
        <v>7</v>
      </c>
      <c r="B120">
        <v>2030</v>
      </c>
      <c r="C120" t="s">
        <v>67</v>
      </c>
      <c r="D120" t="s">
        <v>65</v>
      </c>
      <c r="E120">
        <v>85</v>
      </c>
      <c r="F120">
        <v>89</v>
      </c>
      <c r="G120">
        <v>982614</v>
      </c>
      <c r="H120">
        <v>10776</v>
      </c>
      <c r="I120">
        <v>1026652</v>
      </c>
      <c r="J120">
        <v>81962</v>
      </c>
      <c r="K120">
        <v>7.9834257372507919E-2</v>
      </c>
    </row>
    <row r="121" spans="1:11" x14ac:dyDescent="0.25">
      <c r="A121">
        <v>7</v>
      </c>
      <c r="B121">
        <v>2030</v>
      </c>
      <c r="C121" t="s">
        <v>67</v>
      </c>
      <c r="D121" t="s">
        <v>66</v>
      </c>
      <c r="E121">
        <v>90</v>
      </c>
      <c r="G121">
        <v>1887447</v>
      </c>
      <c r="H121">
        <v>31405</v>
      </c>
      <c r="I121">
        <v>1929649</v>
      </c>
      <c r="J121">
        <v>253897</v>
      </c>
      <c r="K121">
        <v>0.1315767789893395</v>
      </c>
    </row>
    <row r="122" spans="1:11" x14ac:dyDescent="0.25">
      <c r="A122">
        <v>7</v>
      </c>
      <c r="B122">
        <v>2030</v>
      </c>
      <c r="C122" t="s">
        <v>68</v>
      </c>
      <c r="D122" t="s">
        <v>61</v>
      </c>
      <c r="E122">
        <v>65</v>
      </c>
      <c r="F122">
        <v>69</v>
      </c>
      <c r="G122">
        <v>123210</v>
      </c>
      <c r="H122">
        <v>506</v>
      </c>
      <c r="I122">
        <v>123278</v>
      </c>
      <c r="J122">
        <v>1176</v>
      </c>
      <c r="K122">
        <v>9.5394149807751585E-3</v>
      </c>
    </row>
    <row r="123" spans="1:11" x14ac:dyDescent="0.25">
      <c r="A123">
        <v>7</v>
      </c>
      <c r="B123">
        <v>2030</v>
      </c>
      <c r="C123" t="s">
        <v>68</v>
      </c>
      <c r="D123" t="s">
        <v>62</v>
      </c>
      <c r="E123">
        <v>70</v>
      </c>
      <c r="F123">
        <v>74</v>
      </c>
      <c r="G123">
        <v>735946</v>
      </c>
      <c r="H123">
        <v>4056</v>
      </c>
      <c r="I123">
        <v>751197</v>
      </c>
      <c r="J123">
        <v>24953</v>
      </c>
      <c r="K123">
        <v>3.3217651295199532E-2</v>
      </c>
    </row>
    <row r="124" spans="1:11" x14ac:dyDescent="0.25">
      <c r="A124">
        <v>7</v>
      </c>
      <c r="B124">
        <v>2030</v>
      </c>
      <c r="C124" t="s">
        <v>68</v>
      </c>
      <c r="D124" t="s">
        <v>63</v>
      </c>
      <c r="E124">
        <v>75</v>
      </c>
      <c r="F124">
        <v>79</v>
      </c>
      <c r="G124">
        <v>1118351</v>
      </c>
      <c r="H124">
        <v>7656</v>
      </c>
      <c r="I124">
        <v>1142800</v>
      </c>
      <c r="J124">
        <v>45457</v>
      </c>
      <c r="K124">
        <v>3.9776863843192158E-2</v>
      </c>
    </row>
    <row r="125" spans="1:11" x14ac:dyDescent="0.25">
      <c r="A125">
        <v>7</v>
      </c>
      <c r="B125">
        <v>2030</v>
      </c>
      <c r="C125" t="s">
        <v>68</v>
      </c>
      <c r="D125" t="s">
        <v>64</v>
      </c>
      <c r="E125">
        <v>80</v>
      </c>
      <c r="F125">
        <v>84</v>
      </c>
      <c r="G125">
        <v>1179428</v>
      </c>
      <c r="H125">
        <v>10180</v>
      </c>
      <c r="I125">
        <v>1203193</v>
      </c>
      <c r="J125">
        <v>58257</v>
      </c>
      <c r="K125">
        <v>4.8418665999552857E-2</v>
      </c>
    </row>
    <row r="126" spans="1:11" x14ac:dyDescent="0.25">
      <c r="A126">
        <v>7</v>
      </c>
      <c r="B126">
        <v>2030</v>
      </c>
      <c r="C126" t="s">
        <v>68</v>
      </c>
      <c r="D126" t="s">
        <v>65</v>
      </c>
      <c r="E126">
        <v>85</v>
      </c>
      <c r="F126">
        <v>89</v>
      </c>
      <c r="G126">
        <v>824122</v>
      </c>
      <c r="H126">
        <v>8877</v>
      </c>
      <c r="I126">
        <v>844975</v>
      </c>
      <c r="J126">
        <v>59764</v>
      </c>
      <c r="K126">
        <v>7.0728719784609012E-2</v>
      </c>
    </row>
    <row r="127" spans="1:11" x14ac:dyDescent="0.25">
      <c r="A127">
        <v>7</v>
      </c>
      <c r="B127">
        <v>2030</v>
      </c>
      <c r="C127" t="s">
        <v>68</v>
      </c>
      <c r="D127" t="s">
        <v>66</v>
      </c>
      <c r="E127">
        <v>90</v>
      </c>
      <c r="G127">
        <v>1405663</v>
      </c>
      <c r="H127">
        <v>22971</v>
      </c>
      <c r="I127">
        <v>1388910</v>
      </c>
      <c r="J127">
        <v>160132</v>
      </c>
      <c r="K127">
        <v>0.1152932875420294</v>
      </c>
    </row>
    <row r="128" spans="1:11" x14ac:dyDescent="0.25">
      <c r="A128">
        <v>8</v>
      </c>
      <c r="B128">
        <v>2031</v>
      </c>
      <c r="C128" t="s">
        <v>60</v>
      </c>
      <c r="D128" t="s">
        <v>61</v>
      </c>
      <c r="E128">
        <v>65</v>
      </c>
      <c r="F128">
        <v>69</v>
      </c>
      <c r="G128">
        <v>267358</v>
      </c>
      <c r="H128">
        <v>1159</v>
      </c>
      <c r="I128">
        <v>267797</v>
      </c>
      <c r="J128">
        <v>2589</v>
      </c>
      <c r="K128">
        <v>9.6677707367894342E-3</v>
      </c>
    </row>
    <row r="129" spans="1:11" x14ac:dyDescent="0.25">
      <c r="A129">
        <v>8</v>
      </c>
      <c r="B129">
        <v>2031</v>
      </c>
      <c r="C129" t="s">
        <v>60</v>
      </c>
      <c r="D129" t="s">
        <v>62</v>
      </c>
      <c r="E129">
        <v>70</v>
      </c>
      <c r="F129">
        <v>74</v>
      </c>
      <c r="G129">
        <v>1252215</v>
      </c>
      <c r="H129">
        <v>7067</v>
      </c>
      <c r="I129">
        <v>1278223</v>
      </c>
      <c r="J129">
        <v>40808</v>
      </c>
      <c r="K129">
        <v>3.1925571672548531E-2</v>
      </c>
    </row>
    <row r="130" spans="1:11" x14ac:dyDescent="0.25">
      <c r="A130">
        <v>8</v>
      </c>
      <c r="B130">
        <v>2031</v>
      </c>
      <c r="C130" t="s">
        <v>60</v>
      </c>
      <c r="D130" t="s">
        <v>63</v>
      </c>
      <c r="E130">
        <v>75</v>
      </c>
      <c r="F130">
        <v>79</v>
      </c>
      <c r="G130">
        <v>2381891</v>
      </c>
      <c r="H130">
        <v>16248</v>
      </c>
      <c r="I130">
        <v>2442650</v>
      </c>
      <c r="J130">
        <v>99707</v>
      </c>
      <c r="K130">
        <v>4.0819192270689621E-2</v>
      </c>
    </row>
    <row r="131" spans="1:11" x14ac:dyDescent="0.25">
      <c r="A131">
        <v>8</v>
      </c>
      <c r="B131">
        <v>2031</v>
      </c>
      <c r="C131" t="s">
        <v>60</v>
      </c>
      <c r="D131" t="s">
        <v>64</v>
      </c>
      <c r="E131">
        <v>80</v>
      </c>
      <c r="F131">
        <v>84</v>
      </c>
      <c r="G131">
        <v>2564166</v>
      </c>
      <c r="H131">
        <v>22366</v>
      </c>
      <c r="I131">
        <v>2628641</v>
      </c>
      <c r="J131">
        <v>130731</v>
      </c>
      <c r="K131">
        <v>4.9733303254419298E-2</v>
      </c>
    </row>
    <row r="132" spans="1:11" x14ac:dyDescent="0.25">
      <c r="A132">
        <v>8</v>
      </c>
      <c r="B132">
        <v>2031</v>
      </c>
      <c r="C132" t="s">
        <v>60</v>
      </c>
      <c r="D132" t="s">
        <v>65</v>
      </c>
      <c r="E132">
        <v>85</v>
      </c>
      <c r="F132">
        <v>89</v>
      </c>
      <c r="G132">
        <v>2008408</v>
      </c>
      <c r="H132">
        <v>21839</v>
      </c>
      <c r="I132">
        <v>2068451</v>
      </c>
      <c r="J132">
        <v>144229</v>
      </c>
      <c r="K132">
        <v>6.9728023530651675E-2</v>
      </c>
    </row>
    <row r="133" spans="1:11" x14ac:dyDescent="0.25">
      <c r="A133">
        <v>8</v>
      </c>
      <c r="B133">
        <v>2031</v>
      </c>
      <c r="C133" t="s">
        <v>60</v>
      </c>
      <c r="D133" t="s">
        <v>66</v>
      </c>
      <c r="E133">
        <v>90</v>
      </c>
      <c r="G133">
        <v>3393876</v>
      </c>
      <c r="H133">
        <v>55558</v>
      </c>
      <c r="I133">
        <v>3415282</v>
      </c>
      <c r="J133">
        <v>414726</v>
      </c>
      <c r="K133">
        <v>0.12143243222668</v>
      </c>
    </row>
    <row r="134" spans="1:11" x14ac:dyDescent="0.25">
      <c r="A134">
        <v>8</v>
      </c>
      <c r="B134">
        <v>2031</v>
      </c>
      <c r="C134" t="s">
        <v>67</v>
      </c>
      <c r="D134" t="s">
        <v>61</v>
      </c>
      <c r="E134">
        <v>65</v>
      </c>
      <c r="F134">
        <v>69</v>
      </c>
      <c r="G134">
        <v>144319</v>
      </c>
      <c r="H134">
        <v>632</v>
      </c>
      <c r="I134">
        <v>144650</v>
      </c>
      <c r="J134">
        <v>1400</v>
      </c>
      <c r="K134">
        <v>9.6785343933632906E-3</v>
      </c>
    </row>
    <row r="135" spans="1:11" x14ac:dyDescent="0.25">
      <c r="A135">
        <v>8</v>
      </c>
      <c r="B135">
        <v>2031</v>
      </c>
      <c r="C135" t="s">
        <v>67</v>
      </c>
      <c r="D135" t="s">
        <v>62</v>
      </c>
      <c r="E135">
        <v>70</v>
      </c>
      <c r="F135">
        <v>74</v>
      </c>
      <c r="G135">
        <v>658056</v>
      </c>
      <c r="H135">
        <v>3710</v>
      </c>
      <c r="I135">
        <v>672376</v>
      </c>
      <c r="J135">
        <v>21246</v>
      </c>
      <c r="K135">
        <v>3.1598391376253761E-2</v>
      </c>
    </row>
    <row r="136" spans="1:11" x14ac:dyDescent="0.25">
      <c r="A136">
        <v>8</v>
      </c>
      <c r="B136">
        <v>2031</v>
      </c>
      <c r="C136" t="s">
        <v>67</v>
      </c>
      <c r="D136" t="s">
        <v>63</v>
      </c>
      <c r="E136">
        <v>75</v>
      </c>
      <c r="F136">
        <v>79</v>
      </c>
      <c r="G136">
        <v>1243749</v>
      </c>
      <c r="H136">
        <v>8456</v>
      </c>
      <c r="I136">
        <v>1277750</v>
      </c>
      <c r="J136">
        <v>52157</v>
      </c>
      <c r="K136">
        <v>4.0819409117589522E-2</v>
      </c>
    </row>
    <row r="137" spans="1:11" x14ac:dyDescent="0.25">
      <c r="A137">
        <v>8</v>
      </c>
      <c r="B137">
        <v>2031</v>
      </c>
      <c r="C137" t="s">
        <v>67</v>
      </c>
      <c r="D137" t="s">
        <v>64</v>
      </c>
      <c r="E137">
        <v>80</v>
      </c>
      <c r="F137">
        <v>84</v>
      </c>
      <c r="G137">
        <v>1350445</v>
      </c>
      <c r="H137">
        <v>11717</v>
      </c>
      <c r="I137">
        <v>1387847</v>
      </c>
      <c r="J137">
        <v>68714</v>
      </c>
      <c r="K137">
        <v>4.9511221337798762E-2</v>
      </c>
    </row>
    <row r="138" spans="1:11" x14ac:dyDescent="0.25">
      <c r="A138">
        <v>8</v>
      </c>
      <c r="B138">
        <v>2031</v>
      </c>
      <c r="C138" t="s">
        <v>67</v>
      </c>
      <c r="D138" t="s">
        <v>65</v>
      </c>
      <c r="E138">
        <v>85</v>
      </c>
      <c r="F138">
        <v>89</v>
      </c>
      <c r="G138">
        <v>1082342</v>
      </c>
      <c r="H138">
        <v>11899</v>
      </c>
      <c r="I138">
        <v>1121665</v>
      </c>
      <c r="J138">
        <v>80644</v>
      </c>
      <c r="K138">
        <v>7.1896689296715152E-2</v>
      </c>
    </row>
    <row r="139" spans="1:11" x14ac:dyDescent="0.25">
      <c r="A139">
        <v>8</v>
      </c>
      <c r="B139">
        <v>2031</v>
      </c>
      <c r="C139" t="s">
        <v>67</v>
      </c>
      <c r="D139" t="s">
        <v>66</v>
      </c>
      <c r="E139">
        <v>90</v>
      </c>
      <c r="G139">
        <v>1947041</v>
      </c>
      <c r="H139">
        <v>32059</v>
      </c>
      <c r="I139">
        <v>1985219</v>
      </c>
      <c r="J139">
        <v>252821</v>
      </c>
      <c r="K139">
        <v>0.12735169268478691</v>
      </c>
    </row>
    <row r="140" spans="1:11" x14ac:dyDescent="0.25">
      <c r="A140">
        <v>8</v>
      </c>
      <c r="B140">
        <v>2031</v>
      </c>
      <c r="C140" t="s">
        <v>68</v>
      </c>
      <c r="D140" t="s">
        <v>61</v>
      </c>
      <c r="E140">
        <v>65</v>
      </c>
      <c r="F140">
        <v>69</v>
      </c>
      <c r="G140">
        <v>123039</v>
      </c>
      <c r="H140">
        <v>527</v>
      </c>
      <c r="I140">
        <v>123147</v>
      </c>
      <c r="J140">
        <v>1189</v>
      </c>
      <c r="K140">
        <v>9.6551276117160783E-3</v>
      </c>
    </row>
    <row r="141" spans="1:11" x14ac:dyDescent="0.25">
      <c r="A141">
        <v>8</v>
      </c>
      <c r="B141">
        <v>2031</v>
      </c>
      <c r="C141" t="s">
        <v>68</v>
      </c>
      <c r="D141" t="s">
        <v>62</v>
      </c>
      <c r="E141">
        <v>70</v>
      </c>
      <c r="F141">
        <v>74</v>
      </c>
      <c r="G141">
        <v>594159</v>
      </c>
      <c r="H141">
        <v>3357</v>
      </c>
      <c r="I141">
        <v>605847</v>
      </c>
      <c r="J141">
        <v>19562</v>
      </c>
      <c r="K141">
        <v>3.2288680145317217E-2</v>
      </c>
    </row>
    <row r="142" spans="1:11" x14ac:dyDescent="0.25">
      <c r="A142">
        <v>8</v>
      </c>
      <c r="B142">
        <v>2031</v>
      </c>
      <c r="C142" t="s">
        <v>68</v>
      </c>
      <c r="D142" t="s">
        <v>63</v>
      </c>
      <c r="E142">
        <v>75</v>
      </c>
      <c r="F142">
        <v>79</v>
      </c>
      <c r="G142">
        <v>1138142</v>
      </c>
      <c r="H142">
        <v>7792</v>
      </c>
      <c r="I142">
        <v>1164900</v>
      </c>
      <c r="J142">
        <v>47550</v>
      </c>
      <c r="K142">
        <v>4.0818954416688133E-2</v>
      </c>
    </row>
    <row r="143" spans="1:11" x14ac:dyDescent="0.25">
      <c r="A143">
        <v>8</v>
      </c>
      <c r="B143">
        <v>2031</v>
      </c>
      <c r="C143" t="s">
        <v>68</v>
      </c>
      <c r="D143" t="s">
        <v>64</v>
      </c>
      <c r="E143">
        <v>80</v>
      </c>
      <c r="F143">
        <v>84</v>
      </c>
      <c r="G143">
        <v>1213721</v>
      </c>
      <c r="H143">
        <v>10649</v>
      </c>
      <c r="I143">
        <v>1240794</v>
      </c>
      <c r="J143">
        <v>62017</v>
      </c>
      <c r="K143">
        <v>4.9981705262920353E-2</v>
      </c>
    </row>
    <row r="144" spans="1:11" x14ac:dyDescent="0.25">
      <c r="A144">
        <v>8</v>
      </c>
      <c r="B144">
        <v>2031</v>
      </c>
      <c r="C144" t="s">
        <v>68</v>
      </c>
      <c r="D144" t="s">
        <v>65</v>
      </c>
      <c r="E144">
        <v>85</v>
      </c>
      <c r="F144">
        <v>89</v>
      </c>
      <c r="G144">
        <v>926066</v>
      </c>
      <c r="H144">
        <v>9940</v>
      </c>
      <c r="I144">
        <v>946786</v>
      </c>
      <c r="J144">
        <v>63585</v>
      </c>
      <c r="K144">
        <v>6.7158787730279071E-2</v>
      </c>
    </row>
    <row r="145" spans="1:11" x14ac:dyDescent="0.25">
      <c r="A145">
        <v>8</v>
      </c>
      <c r="B145">
        <v>2031</v>
      </c>
      <c r="C145" t="s">
        <v>68</v>
      </c>
      <c r="D145" t="s">
        <v>66</v>
      </c>
      <c r="E145">
        <v>90</v>
      </c>
      <c r="G145">
        <v>1446835</v>
      </c>
      <c r="H145">
        <v>23499</v>
      </c>
      <c r="I145">
        <v>1430063</v>
      </c>
      <c r="J145">
        <v>161905</v>
      </c>
      <c r="K145">
        <v>0.11321529191371291</v>
      </c>
    </row>
    <row r="146" spans="1:11" x14ac:dyDescent="0.25">
      <c r="A146">
        <v>9</v>
      </c>
      <c r="B146">
        <v>2032</v>
      </c>
      <c r="C146" t="s">
        <v>60</v>
      </c>
      <c r="D146" t="s">
        <v>61</v>
      </c>
      <c r="E146">
        <v>65</v>
      </c>
      <c r="F146">
        <v>69</v>
      </c>
      <c r="G146">
        <v>265958</v>
      </c>
      <c r="H146">
        <v>1187</v>
      </c>
      <c r="I146">
        <v>266438</v>
      </c>
      <c r="J146">
        <v>2595</v>
      </c>
      <c r="K146">
        <v>9.7396017084650094E-3</v>
      </c>
    </row>
    <row r="147" spans="1:11" x14ac:dyDescent="0.25">
      <c r="A147">
        <v>9</v>
      </c>
      <c r="B147">
        <v>2032</v>
      </c>
      <c r="C147" t="s">
        <v>60</v>
      </c>
      <c r="D147" t="s">
        <v>62</v>
      </c>
      <c r="E147">
        <v>70</v>
      </c>
      <c r="F147">
        <v>74</v>
      </c>
      <c r="G147">
        <v>955726</v>
      </c>
      <c r="H147">
        <v>5342</v>
      </c>
      <c r="I147">
        <v>972724</v>
      </c>
      <c r="J147">
        <v>27981</v>
      </c>
      <c r="K147">
        <v>2.8765610800185869E-2</v>
      </c>
    </row>
    <row r="148" spans="1:11" x14ac:dyDescent="0.25">
      <c r="A148">
        <v>9</v>
      </c>
      <c r="B148">
        <v>2032</v>
      </c>
      <c r="C148" t="s">
        <v>60</v>
      </c>
      <c r="D148" t="s">
        <v>63</v>
      </c>
      <c r="E148">
        <v>75</v>
      </c>
      <c r="F148">
        <v>79</v>
      </c>
      <c r="G148">
        <v>2440693</v>
      </c>
      <c r="H148">
        <v>16751</v>
      </c>
      <c r="I148">
        <v>2504890</v>
      </c>
      <c r="J148">
        <v>103985</v>
      </c>
      <c r="K148">
        <v>4.1512800961319658E-2</v>
      </c>
    </row>
    <row r="149" spans="1:11" x14ac:dyDescent="0.25">
      <c r="A149">
        <v>9</v>
      </c>
      <c r="B149">
        <v>2032</v>
      </c>
      <c r="C149" t="s">
        <v>60</v>
      </c>
      <c r="D149" t="s">
        <v>64</v>
      </c>
      <c r="E149">
        <v>80</v>
      </c>
      <c r="F149">
        <v>84</v>
      </c>
      <c r="G149">
        <v>2618327</v>
      </c>
      <c r="H149">
        <v>22626</v>
      </c>
      <c r="I149">
        <v>2689576</v>
      </c>
      <c r="J149">
        <v>137312</v>
      </c>
      <c r="K149">
        <v>5.1053400238550609E-2</v>
      </c>
    </row>
    <row r="150" spans="1:11" x14ac:dyDescent="0.25">
      <c r="A150">
        <v>9</v>
      </c>
      <c r="B150">
        <v>2032</v>
      </c>
      <c r="C150" t="s">
        <v>60</v>
      </c>
      <c r="D150" t="s">
        <v>65</v>
      </c>
      <c r="E150">
        <v>85</v>
      </c>
      <c r="F150">
        <v>89</v>
      </c>
      <c r="G150">
        <v>2215879</v>
      </c>
      <c r="H150">
        <v>24235</v>
      </c>
      <c r="I150">
        <v>2276468</v>
      </c>
      <c r="J150">
        <v>151948</v>
      </c>
      <c r="K150">
        <v>6.6747259350889182E-2</v>
      </c>
    </row>
    <row r="151" spans="1:11" x14ac:dyDescent="0.25">
      <c r="A151">
        <v>9</v>
      </c>
      <c r="B151">
        <v>2032</v>
      </c>
      <c r="C151" t="s">
        <v>60</v>
      </c>
      <c r="D151" t="s">
        <v>66</v>
      </c>
      <c r="E151">
        <v>90</v>
      </c>
      <c r="G151">
        <v>3509789</v>
      </c>
      <c r="H151">
        <v>58302</v>
      </c>
      <c r="I151">
        <v>3532177</v>
      </c>
      <c r="J151">
        <v>419661</v>
      </c>
      <c r="K151">
        <v>0.1188108636684968</v>
      </c>
    </row>
    <row r="152" spans="1:11" x14ac:dyDescent="0.25">
      <c r="A152">
        <v>9</v>
      </c>
      <c r="B152">
        <v>2032</v>
      </c>
      <c r="C152" t="s">
        <v>67</v>
      </c>
      <c r="D152" t="s">
        <v>61</v>
      </c>
      <c r="E152">
        <v>65</v>
      </c>
      <c r="F152">
        <v>69</v>
      </c>
      <c r="G152">
        <v>143658</v>
      </c>
      <c r="H152">
        <v>627</v>
      </c>
      <c r="I152">
        <v>144048</v>
      </c>
      <c r="J152">
        <v>1366</v>
      </c>
      <c r="K152">
        <v>9.4829501277351996E-3</v>
      </c>
    </row>
    <row r="153" spans="1:11" x14ac:dyDescent="0.25">
      <c r="A153">
        <v>9</v>
      </c>
      <c r="B153">
        <v>2032</v>
      </c>
      <c r="C153" t="s">
        <v>67</v>
      </c>
      <c r="D153" t="s">
        <v>62</v>
      </c>
      <c r="E153">
        <v>70</v>
      </c>
      <c r="F153">
        <v>74</v>
      </c>
      <c r="G153">
        <v>507813</v>
      </c>
      <c r="H153">
        <v>2847</v>
      </c>
      <c r="I153">
        <v>517219</v>
      </c>
      <c r="J153">
        <v>14763</v>
      </c>
      <c r="K153">
        <v>2.8543034961979359E-2</v>
      </c>
    </row>
    <row r="154" spans="1:11" x14ac:dyDescent="0.25">
      <c r="A154">
        <v>9</v>
      </c>
      <c r="B154">
        <v>2032</v>
      </c>
      <c r="C154" t="s">
        <v>67</v>
      </c>
      <c r="D154" t="s">
        <v>63</v>
      </c>
      <c r="E154">
        <v>75</v>
      </c>
      <c r="F154">
        <v>79</v>
      </c>
      <c r="G154">
        <v>1277015</v>
      </c>
      <c r="H154">
        <v>8703</v>
      </c>
      <c r="I154">
        <v>1312771</v>
      </c>
      <c r="J154">
        <v>54314</v>
      </c>
      <c r="K154">
        <v>4.1373552584571108E-2</v>
      </c>
    </row>
    <row r="155" spans="1:11" x14ac:dyDescent="0.25">
      <c r="A155">
        <v>9</v>
      </c>
      <c r="B155">
        <v>2032</v>
      </c>
      <c r="C155" t="s">
        <v>67</v>
      </c>
      <c r="D155" t="s">
        <v>64</v>
      </c>
      <c r="E155">
        <v>80</v>
      </c>
      <c r="F155">
        <v>84</v>
      </c>
      <c r="G155">
        <v>1380975</v>
      </c>
      <c r="H155">
        <v>12002</v>
      </c>
      <c r="I155">
        <v>1421941</v>
      </c>
      <c r="J155">
        <v>72207</v>
      </c>
      <c r="K155">
        <v>5.0780587942819012E-2</v>
      </c>
    </row>
    <row r="156" spans="1:11" x14ac:dyDescent="0.25">
      <c r="A156">
        <v>9</v>
      </c>
      <c r="B156">
        <v>2032</v>
      </c>
      <c r="C156" t="s">
        <v>67</v>
      </c>
      <c r="D156" t="s">
        <v>65</v>
      </c>
      <c r="E156">
        <v>85</v>
      </c>
      <c r="F156">
        <v>89</v>
      </c>
      <c r="G156">
        <v>1186174</v>
      </c>
      <c r="H156">
        <v>13139</v>
      </c>
      <c r="I156">
        <v>1224506</v>
      </c>
      <c r="J156">
        <v>82730</v>
      </c>
      <c r="K156">
        <v>6.7561939263670406E-2</v>
      </c>
    </row>
    <row r="157" spans="1:11" x14ac:dyDescent="0.25">
      <c r="A157">
        <v>9</v>
      </c>
      <c r="B157">
        <v>2032</v>
      </c>
      <c r="C157" t="s">
        <v>67</v>
      </c>
      <c r="D157" t="s">
        <v>66</v>
      </c>
      <c r="E157">
        <v>90</v>
      </c>
      <c r="G157">
        <v>2014773</v>
      </c>
      <c r="H157">
        <v>33781</v>
      </c>
      <c r="I157">
        <v>2051893</v>
      </c>
      <c r="J157">
        <v>254533</v>
      </c>
      <c r="K157">
        <v>0.1240478913861493</v>
      </c>
    </row>
    <row r="158" spans="1:11" x14ac:dyDescent="0.25">
      <c r="A158">
        <v>9</v>
      </c>
      <c r="B158">
        <v>2032</v>
      </c>
      <c r="C158" t="s">
        <v>68</v>
      </c>
      <c r="D158" t="s">
        <v>61</v>
      </c>
      <c r="E158">
        <v>65</v>
      </c>
      <c r="F158">
        <v>69</v>
      </c>
      <c r="G158">
        <v>122300</v>
      </c>
      <c r="H158">
        <v>560</v>
      </c>
      <c r="I158">
        <v>122390</v>
      </c>
      <c r="J158">
        <v>1229</v>
      </c>
      <c r="K158">
        <v>1.004167007108424E-2</v>
      </c>
    </row>
    <row r="159" spans="1:11" x14ac:dyDescent="0.25">
      <c r="A159">
        <v>9</v>
      </c>
      <c r="B159">
        <v>2032</v>
      </c>
      <c r="C159" t="s">
        <v>68</v>
      </c>
      <c r="D159" t="s">
        <v>62</v>
      </c>
      <c r="E159">
        <v>70</v>
      </c>
      <c r="F159">
        <v>74</v>
      </c>
      <c r="G159">
        <v>447913</v>
      </c>
      <c r="H159">
        <v>2495</v>
      </c>
      <c r="I159">
        <v>455505</v>
      </c>
      <c r="J159">
        <v>13218</v>
      </c>
      <c r="K159">
        <v>2.9018342279448089E-2</v>
      </c>
    </row>
    <row r="160" spans="1:11" x14ac:dyDescent="0.25">
      <c r="A160">
        <v>9</v>
      </c>
      <c r="B160">
        <v>2032</v>
      </c>
      <c r="C160" t="s">
        <v>68</v>
      </c>
      <c r="D160" t="s">
        <v>63</v>
      </c>
      <c r="E160">
        <v>75</v>
      </c>
      <c r="F160">
        <v>79</v>
      </c>
      <c r="G160">
        <v>1163678</v>
      </c>
      <c r="H160">
        <v>8048</v>
      </c>
      <c r="I160">
        <v>1192119</v>
      </c>
      <c r="J160">
        <v>49671</v>
      </c>
      <c r="K160">
        <v>4.1666142390147293E-2</v>
      </c>
    </row>
    <row r="161" spans="1:11" x14ac:dyDescent="0.25">
      <c r="A161">
        <v>9</v>
      </c>
      <c r="B161">
        <v>2032</v>
      </c>
      <c r="C161" t="s">
        <v>68</v>
      </c>
      <c r="D161" t="s">
        <v>64</v>
      </c>
      <c r="E161">
        <v>80</v>
      </c>
      <c r="F161">
        <v>84</v>
      </c>
      <c r="G161">
        <v>1237352</v>
      </c>
      <c r="H161">
        <v>10624</v>
      </c>
      <c r="I161">
        <v>1267635</v>
      </c>
      <c r="J161">
        <v>65105</v>
      </c>
      <c r="K161">
        <v>5.1359421284518023E-2</v>
      </c>
    </row>
    <row r="162" spans="1:11" x14ac:dyDescent="0.25">
      <c r="A162">
        <v>9</v>
      </c>
      <c r="B162">
        <v>2032</v>
      </c>
      <c r="C162" t="s">
        <v>68</v>
      </c>
      <c r="D162" t="s">
        <v>65</v>
      </c>
      <c r="E162">
        <v>85</v>
      </c>
      <c r="F162">
        <v>89</v>
      </c>
      <c r="G162">
        <v>1029705</v>
      </c>
      <c r="H162">
        <v>11096</v>
      </c>
      <c r="I162">
        <v>1051962</v>
      </c>
      <c r="J162">
        <v>69218</v>
      </c>
      <c r="K162">
        <v>6.5798954715094268E-2</v>
      </c>
    </row>
    <row r="163" spans="1:11" x14ac:dyDescent="0.25">
      <c r="A163">
        <v>9</v>
      </c>
      <c r="B163">
        <v>2032</v>
      </c>
      <c r="C163" t="s">
        <v>68</v>
      </c>
      <c r="D163" t="s">
        <v>66</v>
      </c>
      <c r="E163">
        <v>90</v>
      </c>
      <c r="G163">
        <v>1495016</v>
      </c>
      <c r="H163">
        <v>24521</v>
      </c>
      <c r="I163">
        <v>1480284</v>
      </c>
      <c r="J163">
        <v>165128</v>
      </c>
      <c r="K163">
        <v>0.1115515671317126</v>
      </c>
    </row>
    <row r="164" spans="1:11" x14ac:dyDescent="0.25">
      <c r="A164">
        <v>10</v>
      </c>
      <c r="B164">
        <v>2033</v>
      </c>
      <c r="C164" t="s">
        <v>60</v>
      </c>
      <c r="D164" t="s">
        <v>61</v>
      </c>
      <c r="E164">
        <v>65</v>
      </c>
      <c r="F164">
        <v>69</v>
      </c>
      <c r="G164">
        <v>263382</v>
      </c>
      <c r="H164">
        <v>1215</v>
      </c>
      <c r="I164">
        <v>263913</v>
      </c>
      <c r="J164">
        <v>2638</v>
      </c>
      <c r="K164">
        <v>9.9957182859502936E-3</v>
      </c>
    </row>
    <row r="165" spans="1:11" x14ac:dyDescent="0.25">
      <c r="A165">
        <v>10</v>
      </c>
      <c r="B165">
        <v>2033</v>
      </c>
      <c r="C165" t="s">
        <v>60</v>
      </c>
      <c r="D165" t="s">
        <v>62</v>
      </c>
      <c r="E165">
        <v>70</v>
      </c>
      <c r="F165">
        <v>74</v>
      </c>
      <c r="G165">
        <v>649995</v>
      </c>
      <c r="H165">
        <v>3669</v>
      </c>
      <c r="I165">
        <v>657263</v>
      </c>
      <c r="J165">
        <v>14398</v>
      </c>
      <c r="K165">
        <v>2.1905995012650951E-2</v>
      </c>
    </row>
    <row r="166" spans="1:11" x14ac:dyDescent="0.25">
      <c r="A166">
        <v>10</v>
      </c>
      <c r="B166">
        <v>2033</v>
      </c>
      <c r="C166" t="s">
        <v>60</v>
      </c>
      <c r="D166" t="s">
        <v>63</v>
      </c>
      <c r="E166">
        <v>75</v>
      </c>
      <c r="F166">
        <v>79</v>
      </c>
      <c r="G166">
        <v>2502657</v>
      </c>
      <c r="H166">
        <v>17326</v>
      </c>
      <c r="I166">
        <v>2570463</v>
      </c>
      <c r="J166">
        <v>107847</v>
      </c>
      <c r="K166">
        <v>4.1956254573592387E-2</v>
      </c>
    </row>
    <row r="167" spans="1:11" x14ac:dyDescent="0.25">
      <c r="A167">
        <v>10</v>
      </c>
      <c r="B167">
        <v>2033</v>
      </c>
      <c r="C167" t="s">
        <v>60</v>
      </c>
      <c r="D167" t="s">
        <v>64</v>
      </c>
      <c r="E167">
        <v>80</v>
      </c>
      <c r="F167">
        <v>84</v>
      </c>
      <c r="G167">
        <v>2658091</v>
      </c>
      <c r="H167">
        <v>23085</v>
      </c>
      <c r="I167">
        <v>2733529</v>
      </c>
      <c r="J167">
        <v>141647</v>
      </c>
      <c r="K167">
        <v>5.1818363734205862E-2</v>
      </c>
    </row>
    <row r="168" spans="1:11" x14ac:dyDescent="0.25">
      <c r="A168">
        <v>10</v>
      </c>
      <c r="B168">
        <v>2033</v>
      </c>
      <c r="C168" t="s">
        <v>60</v>
      </c>
      <c r="D168" t="s">
        <v>65</v>
      </c>
      <c r="E168">
        <v>85</v>
      </c>
      <c r="F168">
        <v>89</v>
      </c>
      <c r="G168">
        <v>2424535</v>
      </c>
      <c r="H168">
        <v>26397</v>
      </c>
      <c r="I168">
        <v>2490514</v>
      </c>
      <c r="J168">
        <v>164376</v>
      </c>
      <c r="K168">
        <v>6.6000833562870953E-2</v>
      </c>
    </row>
    <row r="169" spans="1:11" x14ac:dyDescent="0.25">
      <c r="A169">
        <v>10</v>
      </c>
      <c r="B169">
        <v>2033</v>
      </c>
      <c r="C169" t="s">
        <v>60</v>
      </c>
      <c r="D169" t="s">
        <v>66</v>
      </c>
      <c r="E169">
        <v>90</v>
      </c>
      <c r="G169">
        <v>3642610</v>
      </c>
      <c r="H169">
        <v>61037</v>
      </c>
      <c r="I169">
        <v>3665571</v>
      </c>
      <c r="J169">
        <v>427579</v>
      </c>
      <c r="K169">
        <v>0.1166473108828065</v>
      </c>
    </row>
    <row r="170" spans="1:11" x14ac:dyDescent="0.25">
      <c r="A170">
        <v>10</v>
      </c>
      <c r="B170">
        <v>2033</v>
      </c>
      <c r="C170" t="s">
        <v>67</v>
      </c>
      <c r="D170" t="s">
        <v>61</v>
      </c>
      <c r="E170">
        <v>65</v>
      </c>
      <c r="F170">
        <v>69</v>
      </c>
      <c r="G170">
        <v>142578</v>
      </c>
      <c r="H170">
        <v>644</v>
      </c>
      <c r="I170">
        <v>142949</v>
      </c>
      <c r="J170">
        <v>1406</v>
      </c>
      <c r="K170">
        <v>9.8356756605502658E-3</v>
      </c>
    </row>
    <row r="171" spans="1:11" x14ac:dyDescent="0.25">
      <c r="A171">
        <v>10</v>
      </c>
      <c r="B171">
        <v>2033</v>
      </c>
      <c r="C171" t="s">
        <v>67</v>
      </c>
      <c r="D171" t="s">
        <v>62</v>
      </c>
      <c r="E171">
        <v>70</v>
      </c>
      <c r="F171">
        <v>74</v>
      </c>
      <c r="G171">
        <v>351240</v>
      </c>
      <c r="H171">
        <v>1943</v>
      </c>
      <c r="I171">
        <v>355555</v>
      </c>
      <c r="J171">
        <v>7729</v>
      </c>
      <c r="K171">
        <v>2.17378464653851E-2</v>
      </c>
    </row>
    <row r="172" spans="1:11" x14ac:dyDescent="0.25">
      <c r="A172">
        <v>10</v>
      </c>
      <c r="B172">
        <v>2033</v>
      </c>
      <c r="C172" t="s">
        <v>67</v>
      </c>
      <c r="D172" t="s">
        <v>63</v>
      </c>
      <c r="E172">
        <v>75</v>
      </c>
      <c r="F172">
        <v>79</v>
      </c>
      <c r="G172">
        <v>1312121</v>
      </c>
      <c r="H172">
        <v>9100</v>
      </c>
      <c r="I172">
        <v>1349599</v>
      </c>
      <c r="J172">
        <v>56303</v>
      </c>
      <c r="K172">
        <v>4.1718317811438803E-2</v>
      </c>
    </row>
    <row r="173" spans="1:11" x14ac:dyDescent="0.25">
      <c r="A173">
        <v>10</v>
      </c>
      <c r="B173">
        <v>2033</v>
      </c>
      <c r="C173" t="s">
        <v>67</v>
      </c>
      <c r="D173" t="s">
        <v>64</v>
      </c>
      <c r="E173">
        <v>80</v>
      </c>
      <c r="F173">
        <v>84</v>
      </c>
      <c r="G173">
        <v>1404004</v>
      </c>
      <c r="H173">
        <v>12063</v>
      </c>
      <c r="I173">
        <v>1447623</v>
      </c>
      <c r="J173">
        <v>74645</v>
      </c>
      <c r="K173">
        <v>5.1563839480306677E-2</v>
      </c>
    </row>
    <row r="174" spans="1:11" x14ac:dyDescent="0.25">
      <c r="A174">
        <v>10</v>
      </c>
      <c r="B174">
        <v>2033</v>
      </c>
      <c r="C174" t="s">
        <v>67</v>
      </c>
      <c r="D174" t="s">
        <v>65</v>
      </c>
      <c r="E174">
        <v>85</v>
      </c>
      <c r="F174">
        <v>89</v>
      </c>
      <c r="G174">
        <v>1292104</v>
      </c>
      <c r="H174">
        <v>14205</v>
      </c>
      <c r="I174">
        <v>1332360</v>
      </c>
      <c r="J174">
        <v>87644</v>
      </c>
      <c r="K174">
        <v>6.5781020144705632E-2</v>
      </c>
    </row>
    <row r="175" spans="1:11" x14ac:dyDescent="0.25">
      <c r="A175">
        <v>10</v>
      </c>
      <c r="B175">
        <v>2033</v>
      </c>
      <c r="C175" t="s">
        <v>67</v>
      </c>
      <c r="D175" t="s">
        <v>66</v>
      </c>
      <c r="E175">
        <v>90</v>
      </c>
      <c r="G175">
        <v>2091180</v>
      </c>
      <c r="H175">
        <v>35482</v>
      </c>
      <c r="I175">
        <v>2128881</v>
      </c>
      <c r="J175">
        <v>257999</v>
      </c>
      <c r="K175">
        <v>0.1211899584805351</v>
      </c>
    </row>
    <row r="176" spans="1:11" x14ac:dyDescent="0.25">
      <c r="A176">
        <v>10</v>
      </c>
      <c r="B176">
        <v>2033</v>
      </c>
      <c r="C176" t="s">
        <v>68</v>
      </c>
      <c r="D176" t="s">
        <v>61</v>
      </c>
      <c r="E176">
        <v>65</v>
      </c>
      <c r="F176">
        <v>69</v>
      </c>
      <c r="G176">
        <v>120804</v>
      </c>
      <c r="H176">
        <v>571</v>
      </c>
      <c r="I176">
        <v>120964</v>
      </c>
      <c r="J176">
        <v>1232</v>
      </c>
      <c r="K176">
        <v>1.0184848384643371E-2</v>
      </c>
    </row>
    <row r="177" spans="1:11" x14ac:dyDescent="0.25">
      <c r="A177">
        <v>10</v>
      </c>
      <c r="B177">
        <v>2033</v>
      </c>
      <c r="C177" t="s">
        <v>68</v>
      </c>
      <c r="D177" t="s">
        <v>62</v>
      </c>
      <c r="E177">
        <v>70</v>
      </c>
      <c r="F177">
        <v>74</v>
      </c>
      <c r="G177">
        <v>298755</v>
      </c>
      <c r="H177">
        <v>1726</v>
      </c>
      <c r="I177">
        <v>301708</v>
      </c>
      <c r="J177">
        <v>6669</v>
      </c>
      <c r="K177">
        <v>2.2104153685019948E-2</v>
      </c>
    </row>
    <row r="178" spans="1:11" x14ac:dyDescent="0.25">
      <c r="A178">
        <v>10</v>
      </c>
      <c r="B178">
        <v>2033</v>
      </c>
      <c r="C178" t="s">
        <v>68</v>
      </c>
      <c r="D178" t="s">
        <v>63</v>
      </c>
      <c r="E178">
        <v>75</v>
      </c>
      <c r="F178">
        <v>79</v>
      </c>
      <c r="G178">
        <v>1190536</v>
      </c>
      <c r="H178">
        <v>8226</v>
      </c>
      <c r="I178">
        <v>1220864</v>
      </c>
      <c r="J178">
        <v>51544</v>
      </c>
      <c r="K178">
        <v>4.2219280771650242E-2</v>
      </c>
    </row>
    <row r="179" spans="1:11" x14ac:dyDescent="0.25">
      <c r="A179">
        <v>10</v>
      </c>
      <c r="B179">
        <v>2033</v>
      </c>
      <c r="C179" t="s">
        <v>68</v>
      </c>
      <c r="D179" t="s">
        <v>64</v>
      </c>
      <c r="E179">
        <v>80</v>
      </c>
      <c r="F179">
        <v>84</v>
      </c>
      <c r="G179">
        <v>1254087</v>
      </c>
      <c r="H179">
        <v>11022</v>
      </c>
      <c r="I179">
        <v>1285906</v>
      </c>
      <c r="J179">
        <v>67002</v>
      </c>
      <c r="K179">
        <v>5.2104897247543747E-2</v>
      </c>
    </row>
    <row r="180" spans="1:11" x14ac:dyDescent="0.25">
      <c r="A180">
        <v>10</v>
      </c>
      <c r="B180">
        <v>2033</v>
      </c>
      <c r="C180" t="s">
        <v>68</v>
      </c>
      <c r="D180" t="s">
        <v>65</v>
      </c>
      <c r="E180">
        <v>85</v>
      </c>
      <c r="F180">
        <v>89</v>
      </c>
      <c r="G180">
        <v>1132431</v>
      </c>
      <c r="H180">
        <v>12192</v>
      </c>
      <c r="I180">
        <v>1158154</v>
      </c>
      <c r="J180">
        <v>76732</v>
      </c>
      <c r="K180">
        <v>6.6253710646425254E-2</v>
      </c>
    </row>
    <row r="181" spans="1:11" x14ac:dyDescent="0.25">
      <c r="A181">
        <v>10</v>
      </c>
      <c r="B181">
        <v>2033</v>
      </c>
      <c r="C181" t="s">
        <v>68</v>
      </c>
      <c r="D181" t="s">
        <v>66</v>
      </c>
      <c r="E181">
        <v>90</v>
      </c>
      <c r="G181">
        <v>1551430</v>
      </c>
      <c r="H181">
        <v>25555</v>
      </c>
      <c r="I181">
        <v>1536690</v>
      </c>
      <c r="J181">
        <v>169580</v>
      </c>
      <c r="K181">
        <v>0.11035407271473099</v>
      </c>
    </row>
    <row r="182" spans="1:11" x14ac:dyDescent="0.25">
      <c r="A182">
        <v>11</v>
      </c>
      <c r="B182">
        <v>2034</v>
      </c>
      <c r="C182" t="s">
        <v>60</v>
      </c>
      <c r="D182" t="s">
        <v>61</v>
      </c>
      <c r="E182">
        <v>65</v>
      </c>
      <c r="F182">
        <v>69</v>
      </c>
      <c r="G182">
        <v>259855</v>
      </c>
      <c r="H182">
        <v>1103</v>
      </c>
      <c r="I182">
        <v>260414</v>
      </c>
      <c r="J182">
        <v>2563</v>
      </c>
      <c r="K182">
        <v>9.8420207822928103E-3</v>
      </c>
    </row>
    <row r="183" spans="1:11" x14ac:dyDescent="0.25">
      <c r="A183">
        <v>11</v>
      </c>
      <c r="B183">
        <v>2034</v>
      </c>
      <c r="C183" t="s">
        <v>60</v>
      </c>
      <c r="D183" t="s">
        <v>62</v>
      </c>
      <c r="E183">
        <v>70</v>
      </c>
      <c r="F183">
        <v>74</v>
      </c>
      <c r="G183">
        <v>654139</v>
      </c>
      <c r="H183">
        <v>3588</v>
      </c>
      <c r="I183">
        <v>661685</v>
      </c>
      <c r="J183">
        <v>14455</v>
      </c>
      <c r="K183">
        <v>2.184574230940704E-2</v>
      </c>
    </row>
    <row r="184" spans="1:11" x14ac:dyDescent="0.25">
      <c r="A184">
        <v>11</v>
      </c>
      <c r="B184">
        <v>2034</v>
      </c>
      <c r="C184" t="s">
        <v>60</v>
      </c>
      <c r="D184" t="s">
        <v>63</v>
      </c>
      <c r="E184">
        <v>75</v>
      </c>
      <c r="F184">
        <v>79</v>
      </c>
      <c r="G184">
        <v>2251384</v>
      </c>
      <c r="H184">
        <v>15457</v>
      </c>
      <c r="I184">
        <v>2311976</v>
      </c>
      <c r="J184">
        <v>96494</v>
      </c>
      <c r="K184">
        <v>4.1736592421374619E-2</v>
      </c>
    </row>
    <row r="185" spans="1:11" x14ac:dyDescent="0.25">
      <c r="A185">
        <v>11</v>
      </c>
      <c r="B185">
        <v>2034</v>
      </c>
      <c r="C185" t="s">
        <v>60</v>
      </c>
      <c r="D185" t="s">
        <v>64</v>
      </c>
      <c r="E185">
        <v>80</v>
      </c>
      <c r="F185">
        <v>84</v>
      </c>
      <c r="G185">
        <v>2682138</v>
      </c>
      <c r="H185">
        <v>23443</v>
      </c>
      <c r="I185">
        <v>2762153</v>
      </c>
      <c r="J185">
        <v>145424</v>
      </c>
      <c r="K185">
        <v>5.26487852048746E-2</v>
      </c>
    </row>
    <row r="186" spans="1:11" x14ac:dyDescent="0.25">
      <c r="A186">
        <v>11</v>
      </c>
      <c r="B186">
        <v>2034</v>
      </c>
      <c r="C186" t="s">
        <v>60</v>
      </c>
      <c r="D186" t="s">
        <v>65</v>
      </c>
      <c r="E186">
        <v>85</v>
      </c>
      <c r="F186">
        <v>89</v>
      </c>
      <c r="G186">
        <v>2542179</v>
      </c>
      <c r="H186">
        <v>27724</v>
      </c>
      <c r="I186">
        <v>2616387</v>
      </c>
      <c r="J186">
        <v>175118</v>
      </c>
      <c r="K186">
        <v>6.6931229974770551E-2</v>
      </c>
    </row>
    <row r="187" spans="1:11" x14ac:dyDescent="0.25">
      <c r="A187">
        <v>11</v>
      </c>
      <c r="B187">
        <v>2034</v>
      </c>
      <c r="C187" t="s">
        <v>60</v>
      </c>
      <c r="D187" t="s">
        <v>66</v>
      </c>
      <c r="E187">
        <v>90</v>
      </c>
      <c r="G187">
        <v>3879940</v>
      </c>
      <c r="H187">
        <v>64481</v>
      </c>
      <c r="I187">
        <v>3908604</v>
      </c>
      <c r="J187">
        <v>442523</v>
      </c>
      <c r="K187">
        <v>0.11321766032066689</v>
      </c>
    </row>
    <row r="188" spans="1:11" x14ac:dyDescent="0.25">
      <c r="A188">
        <v>11</v>
      </c>
      <c r="B188">
        <v>2034</v>
      </c>
      <c r="C188" t="s">
        <v>67</v>
      </c>
      <c r="D188" t="s">
        <v>61</v>
      </c>
      <c r="E188">
        <v>65</v>
      </c>
      <c r="F188">
        <v>69</v>
      </c>
      <c r="G188">
        <v>140392</v>
      </c>
      <c r="H188">
        <v>592</v>
      </c>
      <c r="I188">
        <v>140837</v>
      </c>
      <c r="J188">
        <v>1389</v>
      </c>
      <c r="K188">
        <v>9.8624651192513336E-3</v>
      </c>
    </row>
    <row r="189" spans="1:11" x14ac:dyDescent="0.25">
      <c r="A189">
        <v>11</v>
      </c>
      <c r="B189">
        <v>2034</v>
      </c>
      <c r="C189" t="s">
        <v>67</v>
      </c>
      <c r="D189" t="s">
        <v>62</v>
      </c>
      <c r="E189">
        <v>70</v>
      </c>
      <c r="F189">
        <v>74</v>
      </c>
      <c r="G189">
        <v>353839</v>
      </c>
      <c r="H189">
        <v>1948</v>
      </c>
      <c r="I189">
        <v>358206</v>
      </c>
      <c r="J189">
        <v>7741</v>
      </c>
      <c r="K189">
        <v>2.161046995304378E-2</v>
      </c>
    </row>
    <row r="190" spans="1:11" x14ac:dyDescent="0.25">
      <c r="A190">
        <v>11</v>
      </c>
      <c r="B190">
        <v>2034</v>
      </c>
      <c r="C190" t="s">
        <v>67</v>
      </c>
      <c r="D190" t="s">
        <v>63</v>
      </c>
      <c r="E190">
        <v>75</v>
      </c>
      <c r="F190">
        <v>79</v>
      </c>
      <c r="G190">
        <v>1186360</v>
      </c>
      <c r="H190">
        <v>8099</v>
      </c>
      <c r="I190">
        <v>1220120</v>
      </c>
      <c r="J190">
        <v>50504</v>
      </c>
      <c r="K190">
        <v>4.1392649903288198E-2</v>
      </c>
    </row>
    <row r="191" spans="1:11" x14ac:dyDescent="0.25">
      <c r="A191">
        <v>11</v>
      </c>
      <c r="B191">
        <v>2034</v>
      </c>
      <c r="C191" t="s">
        <v>67</v>
      </c>
      <c r="D191" t="s">
        <v>64</v>
      </c>
      <c r="E191">
        <v>80</v>
      </c>
      <c r="F191">
        <v>84</v>
      </c>
      <c r="G191">
        <v>1418532</v>
      </c>
      <c r="H191">
        <v>12473</v>
      </c>
      <c r="I191">
        <v>1464334</v>
      </c>
      <c r="J191">
        <v>76731</v>
      </c>
      <c r="K191">
        <v>5.2399930616922087E-2</v>
      </c>
    </row>
    <row r="192" spans="1:11" x14ac:dyDescent="0.25">
      <c r="A192">
        <v>11</v>
      </c>
      <c r="B192">
        <v>2034</v>
      </c>
      <c r="C192" t="s">
        <v>67</v>
      </c>
      <c r="D192" t="s">
        <v>65</v>
      </c>
      <c r="E192">
        <v>85</v>
      </c>
      <c r="F192">
        <v>89</v>
      </c>
      <c r="G192">
        <v>1358663</v>
      </c>
      <c r="H192">
        <v>14855</v>
      </c>
      <c r="I192">
        <v>1403511</v>
      </c>
      <c r="J192">
        <v>93755</v>
      </c>
      <c r="K192">
        <v>6.680033145447381E-2</v>
      </c>
    </row>
    <row r="193" spans="1:11" x14ac:dyDescent="0.25">
      <c r="A193">
        <v>11</v>
      </c>
      <c r="B193">
        <v>2034</v>
      </c>
      <c r="C193" t="s">
        <v>67</v>
      </c>
      <c r="D193" t="s">
        <v>66</v>
      </c>
      <c r="E193">
        <v>90</v>
      </c>
      <c r="G193">
        <v>2216451</v>
      </c>
      <c r="H193">
        <v>37399</v>
      </c>
      <c r="I193">
        <v>2255004</v>
      </c>
      <c r="J193">
        <v>263985</v>
      </c>
      <c r="K193">
        <v>0.1170663111905788</v>
      </c>
    </row>
    <row r="194" spans="1:11" x14ac:dyDescent="0.25">
      <c r="A194">
        <v>11</v>
      </c>
      <c r="B194">
        <v>2034</v>
      </c>
      <c r="C194" t="s">
        <v>68</v>
      </c>
      <c r="D194" t="s">
        <v>61</v>
      </c>
      <c r="E194">
        <v>65</v>
      </c>
      <c r="F194">
        <v>69</v>
      </c>
      <c r="G194">
        <v>119463</v>
      </c>
      <c r="H194">
        <v>511</v>
      </c>
      <c r="I194">
        <v>119577</v>
      </c>
      <c r="J194">
        <v>1174</v>
      </c>
      <c r="K194">
        <v>9.8179415773936452E-3</v>
      </c>
    </row>
    <row r="195" spans="1:11" x14ac:dyDescent="0.25">
      <c r="A195">
        <v>11</v>
      </c>
      <c r="B195">
        <v>2034</v>
      </c>
      <c r="C195" t="s">
        <v>68</v>
      </c>
      <c r="D195" t="s">
        <v>62</v>
      </c>
      <c r="E195">
        <v>70</v>
      </c>
      <c r="F195">
        <v>74</v>
      </c>
      <c r="G195">
        <v>300300</v>
      </c>
      <c r="H195">
        <v>1640</v>
      </c>
      <c r="I195">
        <v>303479</v>
      </c>
      <c r="J195">
        <v>6714</v>
      </c>
      <c r="K195">
        <v>2.2123441819697571E-2</v>
      </c>
    </row>
    <row r="196" spans="1:11" x14ac:dyDescent="0.25">
      <c r="A196">
        <v>11</v>
      </c>
      <c r="B196">
        <v>2034</v>
      </c>
      <c r="C196" t="s">
        <v>68</v>
      </c>
      <c r="D196" t="s">
        <v>63</v>
      </c>
      <c r="E196">
        <v>75</v>
      </c>
      <c r="F196">
        <v>79</v>
      </c>
      <c r="G196">
        <v>1065024</v>
      </c>
      <c r="H196">
        <v>7358</v>
      </c>
      <c r="I196">
        <v>1091856</v>
      </c>
      <c r="J196">
        <v>45990</v>
      </c>
      <c r="K196">
        <v>4.2120939024926363E-2</v>
      </c>
    </row>
    <row r="197" spans="1:11" x14ac:dyDescent="0.25">
      <c r="A197">
        <v>11</v>
      </c>
      <c r="B197">
        <v>2034</v>
      </c>
      <c r="C197" t="s">
        <v>68</v>
      </c>
      <c r="D197" t="s">
        <v>64</v>
      </c>
      <c r="E197">
        <v>80</v>
      </c>
      <c r="F197">
        <v>84</v>
      </c>
      <c r="G197">
        <v>1263606</v>
      </c>
      <c r="H197">
        <v>10970</v>
      </c>
      <c r="I197">
        <v>1297819</v>
      </c>
      <c r="J197">
        <v>68693</v>
      </c>
      <c r="K197">
        <v>5.2929568761129253E-2</v>
      </c>
    </row>
    <row r="198" spans="1:11" x14ac:dyDescent="0.25">
      <c r="A198">
        <v>11</v>
      </c>
      <c r="B198">
        <v>2034</v>
      </c>
      <c r="C198" t="s">
        <v>68</v>
      </c>
      <c r="D198" t="s">
        <v>65</v>
      </c>
      <c r="E198">
        <v>85</v>
      </c>
      <c r="F198">
        <v>89</v>
      </c>
      <c r="G198">
        <v>1183516</v>
      </c>
      <c r="H198">
        <v>12869</v>
      </c>
      <c r="I198">
        <v>1212876</v>
      </c>
      <c r="J198">
        <v>81363</v>
      </c>
      <c r="K198">
        <v>6.7082702601090297E-2</v>
      </c>
    </row>
    <row r="199" spans="1:11" x14ac:dyDescent="0.25">
      <c r="A199">
        <v>11</v>
      </c>
      <c r="B199">
        <v>2034</v>
      </c>
      <c r="C199" t="s">
        <v>68</v>
      </c>
      <c r="D199" t="s">
        <v>66</v>
      </c>
      <c r="E199">
        <v>90</v>
      </c>
      <c r="G199">
        <v>1663489</v>
      </c>
      <c r="H199">
        <v>27082</v>
      </c>
      <c r="I199">
        <v>1653600</v>
      </c>
      <c r="J199">
        <v>178538</v>
      </c>
      <c r="K199">
        <v>0.1079692791485244</v>
      </c>
    </row>
    <row r="200" spans="1:11" x14ac:dyDescent="0.25">
      <c r="A200">
        <v>12</v>
      </c>
      <c r="B200">
        <v>2035</v>
      </c>
      <c r="C200" t="s">
        <v>60</v>
      </c>
      <c r="D200" t="s">
        <v>61</v>
      </c>
      <c r="E200">
        <v>65</v>
      </c>
      <c r="F200">
        <v>69</v>
      </c>
      <c r="G200">
        <v>255706</v>
      </c>
      <c r="H200">
        <v>1164</v>
      </c>
      <c r="I200">
        <v>256243</v>
      </c>
      <c r="J200">
        <v>2593</v>
      </c>
      <c r="K200">
        <v>1.0119300819924839E-2</v>
      </c>
    </row>
    <row r="201" spans="1:11" x14ac:dyDescent="0.25">
      <c r="A201">
        <v>12</v>
      </c>
      <c r="B201">
        <v>2035</v>
      </c>
      <c r="C201" t="s">
        <v>60</v>
      </c>
      <c r="D201" t="s">
        <v>62</v>
      </c>
      <c r="E201">
        <v>70</v>
      </c>
      <c r="F201">
        <v>74</v>
      </c>
      <c r="G201">
        <v>657936</v>
      </c>
      <c r="H201">
        <v>3542</v>
      </c>
      <c r="I201">
        <v>665384</v>
      </c>
      <c r="J201">
        <v>14452</v>
      </c>
      <c r="K201">
        <v>2.171978887379318E-2</v>
      </c>
    </row>
    <row r="202" spans="1:11" x14ac:dyDescent="0.25">
      <c r="A202">
        <v>12</v>
      </c>
      <c r="B202">
        <v>2035</v>
      </c>
      <c r="C202" t="s">
        <v>60</v>
      </c>
      <c r="D202" t="s">
        <v>63</v>
      </c>
      <c r="E202">
        <v>75</v>
      </c>
      <c r="F202">
        <v>79</v>
      </c>
      <c r="G202">
        <v>1993730</v>
      </c>
      <c r="H202">
        <v>13957</v>
      </c>
      <c r="I202">
        <v>2045808</v>
      </c>
      <c r="J202">
        <v>83759</v>
      </c>
      <c r="K202">
        <v>4.0941769706639139E-2</v>
      </c>
    </row>
    <row r="203" spans="1:11" x14ac:dyDescent="0.25">
      <c r="A203">
        <v>12</v>
      </c>
      <c r="B203">
        <v>2035</v>
      </c>
      <c r="C203" t="s">
        <v>60</v>
      </c>
      <c r="D203" t="s">
        <v>64</v>
      </c>
      <c r="E203">
        <v>80</v>
      </c>
      <c r="F203">
        <v>84</v>
      </c>
      <c r="G203">
        <v>2711298</v>
      </c>
      <c r="H203">
        <v>23841</v>
      </c>
      <c r="I203">
        <v>2795131</v>
      </c>
      <c r="J203">
        <v>148726</v>
      </c>
      <c r="K203">
        <v>5.3208955143783959E-2</v>
      </c>
    </row>
    <row r="204" spans="1:11" x14ac:dyDescent="0.25">
      <c r="A204">
        <v>12</v>
      </c>
      <c r="B204">
        <v>2035</v>
      </c>
      <c r="C204" t="s">
        <v>60</v>
      </c>
      <c r="D204" t="s">
        <v>65</v>
      </c>
      <c r="E204">
        <v>85</v>
      </c>
      <c r="F204">
        <v>89</v>
      </c>
      <c r="G204">
        <v>2638509</v>
      </c>
      <c r="H204">
        <v>28562</v>
      </c>
      <c r="I204">
        <v>2720309</v>
      </c>
      <c r="J204">
        <v>183824</v>
      </c>
      <c r="K204">
        <v>6.757467625920438E-2</v>
      </c>
    </row>
    <row r="205" spans="1:11" x14ac:dyDescent="0.25">
      <c r="A205">
        <v>12</v>
      </c>
      <c r="B205">
        <v>2035</v>
      </c>
      <c r="C205" t="s">
        <v>60</v>
      </c>
      <c r="D205" t="s">
        <v>66</v>
      </c>
      <c r="E205">
        <v>90</v>
      </c>
      <c r="G205">
        <v>4138743</v>
      </c>
      <c r="H205">
        <v>69072</v>
      </c>
      <c r="I205">
        <v>4175086</v>
      </c>
      <c r="J205">
        <v>464176</v>
      </c>
      <c r="K205">
        <v>0.1111775901143114</v>
      </c>
    </row>
    <row r="206" spans="1:11" x14ac:dyDescent="0.25">
      <c r="A206">
        <v>12</v>
      </c>
      <c r="B206">
        <v>2035</v>
      </c>
      <c r="C206" t="s">
        <v>67</v>
      </c>
      <c r="D206" t="s">
        <v>61</v>
      </c>
      <c r="E206">
        <v>65</v>
      </c>
      <c r="F206">
        <v>69</v>
      </c>
      <c r="G206">
        <v>138049</v>
      </c>
      <c r="H206">
        <v>600</v>
      </c>
      <c r="I206">
        <v>138467</v>
      </c>
      <c r="J206">
        <v>1388</v>
      </c>
      <c r="K206">
        <v>1.002404905139853E-2</v>
      </c>
    </row>
    <row r="207" spans="1:11" x14ac:dyDescent="0.25">
      <c r="A207">
        <v>12</v>
      </c>
      <c r="B207">
        <v>2035</v>
      </c>
      <c r="C207" t="s">
        <v>67</v>
      </c>
      <c r="D207" t="s">
        <v>62</v>
      </c>
      <c r="E207">
        <v>70</v>
      </c>
      <c r="F207">
        <v>74</v>
      </c>
      <c r="G207">
        <v>355914</v>
      </c>
      <c r="H207">
        <v>1927</v>
      </c>
      <c r="I207">
        <v>360237</v>
      </c>
      <c r="J207">
        <v>7765</v>
      </c>
      <c r="K207">
        <v>2.1555253902292099E-2</v>
      </c>
    </row>
    <row r="208" spans="1:11" x14ac:dyDescent="0.25">
      <c r="A208">
        <v>12</v>
      </c>
      <c r="B208">
        <v>2035</v>
      </c>
      <c r="C208" t="s">
        <v>67</v>
      </c>
      <c r="D208" t="s">
        <v>63</v>
      </c>
      <c r="E208">
        <v>75</v>
      </c>
      <c r="F208">
        <v>79</v>
      </c>
      <c r="G208">
        <v>1056378</v>
      </c>
      <c r="H208">
        <v>7311</v>
      </c>
      <c r="I208">
        <v>1085486</v>
      </c>
      <c r="J208">
        <v>43973</v>
      </c>
      <c r="K208">
        <v>4.0509965121613728E-2</v>
      </c>
    </row>
    <row r="209" spans="1:11" x14ac:dyDescent="0.25">
      <c r="A209">
        <v>12</v>
      </c>
      <c r="B209">
        <v>2035</v>
      </c>
      <c r="C209" t="s">
        <v>67</v>
      </c>
      <c r="D209" t="s">
        <v>64</v>
      </c>
      <c r="E209">
        <v>80</v>
      </c>
      <c r="F209">
        <v>84</v>
      </c>
      <c r="G209">
        <v>1436496</v>
      </c>
      <c r="H209">
        <v>12733</v>
      </c>
      <c r="I209">
        <v>1484210</v>
      </c>
      <c r="J209">
        <v>78672</v>
      </c>
      <c r="K209">
        <v>5.300597624325399E-2</v>
      </c>
    </row>
    <row r="210" spans="1:11" x14ac:dyDescent="0.25">
      <c r="A210">
        <v>12</v>
      </c>
      <c r="B210">
        <v>2035</v>
      </c>
      <c r="C210" t="s">
        <v>67</v>
      </c>
      <c r="D210" t="s">
        <v>65</v>
      </c>
      <c r="E210">
        <v>85</v>
      </c>
      <c r="F210">
        <v>89</v>
      </c>
      <c r="G210">
        <v>1413760</v>
      </c>
      <c r="H210">
        <v>15357</v>
      </c>
      <c r="I210">
        <v>1463019</v>
      </c>
      <c r="J210">
        <v>98745</v>
      </c>
      <c r="K210">
        <v>6.7493997002089509E-2</v>
      </c>
    </row>
    <row r="211" spans="1:11" x14ac:dyDescent="0.25">
      <c r="A211">
        <v>12</v>
      </c>
      <c r="B211">
        <v>2035</v>
      </c>
      <c r="C211" t="s">
        <v>67</v>
      </c>
      <c r="D211" t="s">
        <v>66</v>
      </c>
      <c r="E211">
        <v>90</v>
      </c>
      <c r="G211">
        <v>2353074</v>
      </c>
      <c r="H211">
        <v>39784</v>
      </c>
      <c r="I211">
        <v>2395214</v>
      </c>
      <c r="J211">
        <v>274233</v>
      </c>
      <c r="K211">
        <v>0.1144920662621377</v>
      </c>
    </row>
    <row r="212" spans="1:11" x14ac:dyDescent="0.25">
      <c r="A212">
        <v>12</v>
      </c>
      <c r="B212">
        <v>2035</v>
      </c>
      <c r="C212" t="s">
        <v>68</v>
      </c>
      <c r="D212" t="s">
        <v>61</v>
      </c>
      <c r="E212">
        <v>65</v>
      </c>
      <c r="F212">
        <v>69</v>
      </c>
      <c r="G212">
        <v>117657</v>
      </c>
      <c r="H212">
        <v>564</v>
      </c>
      <c r="I212">
        <v>117776</v>
      </c>
      <c r="J212">
        <v>1205</v>
      </c>
      <c r="K212">
        <v>1.023128650998506E-2</v>
      </c>
    </row>
    <row r="213" spans="1:11" x14ac:dyDescent="0.25">
      <c r="A213">
        <v>12</v>
      </c>
      <c r="B213">
        <v>2035</v>
      </c>
      <c r="C213" t="s">
        <v>68</v>
      </c>
      <c r="D213" t="s">
        <v>62</v>
      </c>
      <c r="E213">
        <v>70</v>
      </c>
      <c r="F213">
        <v>74</v>
      </c>
      <c r="G213">
        <v>302022</v>
      </c>
      <c r="H213">
        <v>1615</v>
      </c>
      <c r="I213">
        <v>305147</v>
      </c>
      <c r="J213">
        <v>6687</v>
      </c>
      <c r="K213">
        <v>2.1914028320776539E-2</v>
      </c>
    </row>
    <row r="214" spans="1:11" x14ac:dyDescent="0.25">
      <c r="A214">
        <v>12</v>
      </c>
      <c r="B214">
        <v>2035</v>
      </c>
      <c r="C214" t="s">
        <v>68</v>
      </c>
      <c r="D214" t="s">
        <v>63</v>
      </c>
      <c r="E214">
        <v>75</v>
      </c>
      <c r="F214">
        <v>79</v>
      </c>
      <c r="G214">
        <v>937352</v>
      </c>
      <c r="H214">
        <v>6646</v>
      </c>
      <c r="I214">
        <v>960322</v>
      </c>
      <c r="J214">
        <v>39786</v>
      </c>
      <c r="K214">
        <v>4.1429853736559198E-2</v>
      </c>
    </row>
    <row r="215" spans="1:11" x14ac:dyDescent="0.25">
      <c r="A215">
        <v>12</v>
      </c>
      <c r="B215">
        <v>2035</v>
      </c>
      <c r="C215" t="s">
        <v>68</v>
      </c>
      <c r="D215" t="s">
        <v>64</v>
      </c>
      <c r="E215">
        <v>80</v>
      </c>
      <c r="F215">
        <v>84</v>
      </c>
      <c r="G215">
        <v>1274802</v>
      </c>
      <c r="H215">
        <v>11108</v>
      </c>
      <c r="I215">
        <v>1310921</v>
      </c>
      <c r="J215">
        <v>70054</v>
      </c>
      <c r="K215">
        <v>5.3438765570160217E-2</v>
      </c>
    </row>
    <row r="216" spans="1:11" x14ac:dyDescent="0.25">
      <c r="A216">
        <v>12</v>
      </c>
      <c r="B216">
        <v>2035</v>
      </c>
      <c r="C216" t="s">
        <v>68</v>
      </c>
      <c r="D216" t="s">
        <v>65</v>
      </c>
      <c r="E216">
        <v>85</v>
      </c>
      <c r="F216">
        <v>89</v>
      </c>
      <c r="G216">
        <v>1224749</v>
      </c>
      <c r="H216">
        <v>13205</v>
      </c>
      <c r="I216">
        <v>1257290</v>
      </c>
      <c r="J216">
        <v>85079</v>
      </c>
      <c r="K216">
        <v>6.7668556975717609E-2</v>
      </c>
    </row>
    <row r="217" spans="1:11" x14ac:dyDescent="0.25">
      <c r="A217">
        <v>12</v>
      </c>
      <c r="B217">
        <v>2035</v>
      </c>
      <c r="C217" t="s">
        <v>68</v>
      </c>
      <c r="D217" t="s">
        <v>66</v>
      </c>
      <c r="E217">
        <v>90</v>
      </c>
      <c r="G217">
        <v>1785669</v>
      </c>
      <c r="H217">
        <v>29288</v>
      </c>
      <c r="I217">
        <v>1779872</v>
      </c>
      <c r="J217">
        <v>189943</v>
      </c>
      <c r="K217">
        <v>0.10671722460941011</v>
      </c>
    </row>
    <row r="218" spans="1:11" x14ac:dyDescent="0.25">
      <c r="A218">
        <v>13</v>
      </c>
      <c r="B218">
        <v>2036</v>
      </c>
      <c r="C218" t="s">
        <v>60</v>
      </c>
      <c r="D218" t="s">
        <v>61</v>
      </c>
      <c r="E218">
        <v>65</v>
      </c>
      <c r="F218">
        <v>69</v>
      </c>
      <c r="G218">
        <v>251599</v>
      </c>
      <c r="H218">
        <v>1129</v>
      </c>
      <c r="I218">
        <v>252208</v>
      </c>
      <c r="J218">
        <v>2549</v>
      </c>
      <c r="K218">
        <v>1.010673729619996E-2</v>
      </c>
    </row>
    <row r="219" spans="1:11" x14ac:dyDescent="0.25">
      <c r="A219">
        <v>13</v>
      </c>
      <c r="B219">
        <v>2036</v>
      </c>
      <c r="C219" t="s">
        <v>60</v>
      </c>
      <c r="D219" t="s">
        <v>62</v>
      </c>
      <c r="E219">
        <v>70</v>
      </c>
      <c r="F219">
        <v>74</v>
      </c>
      <c r="G219">
        <v>656983</v>
      </c>
      <c r="H219">
        <v>3631</v>
      </c>
      <c r="I219">
        <v>664566</v>
      </c>
      <c r="J219">
        <v>14423</v>
      </c>
      <c r="K219">
        <v>2.1702885793134161E-2</v>
      </c>
    </row>
    <row r="220" spans="1:11" x14ac:dyDescent="0.25">
      <c r="A220">
        <v>13</v>
      </c>
      <c r="B220">
        <v>2036</v>
      </c>
      <c r="C220" t="s">
        <v>60</v>
      </c>
      <c r="D220" t="s">
        <v>63</v>
      </c>
      <c r="E220">
        <v>75</v>
      </c>
      <c r="F220">
        <v>79</v>
      </c>
      <c r="G220">
        <v>1732217</v>
      </c>
      <c r="H220">
        <v>11996</v>
      </c>
      <c r="I220">
        <v>1774653</v>
      </c>
      <c r="J220">
        <v>69611</v>
      </c>
      <c r="K220">
        <v>3.9225133026005637E-2</v>
      </c>
    </row>
    <row r="221" spans="1:11" x14ac:dyDescent="0.25">
      <c r="A221">
        <v>13</v>
      </c>
      <c r="B221">
        <v>2036</v>
      </c>
      <c r="C221" t="s">
        <v>60</v>
      </c>
      <c r="D221" t="s">
        <v>64</v>
      </c>
      <c r="E221">
        <v>80</v>
      </c>
      <c r="F221">
        <v>84</v>
      </c>
      <c r="G221">
        <v>2754342</v>
      </c>
      <c r="H221">
        <v>24127</v>
      </c>
      <c r="I221">
        <v>2842535</v>
      </c>
      <c r="J221">
        <v>152591</v>
      </c>
      <c r="K221">
        <v>5.3681309113168353E-2</v>
      </c>
    </row>
    <row r="222" spans="1:11" x14ac:dyDescent="0.25">
      <c r="A222">
        <v>13</v>
      </c>
      <c r="B222">
        <v>2036</v>
      </c>
      <c r="C222" t="s">
        <v>60</v>
      </c>
      <c r="D222" t="s">
        <v>65</v>
      </c>
      <c r="E222">
        <v>85</v>
      </c>
      <c r="F222">
        <v>89</v>
      </c>
      <c r="G222">
        <v>2711420</v>
      </c>
      <c r="H222">
        <v>29219</v>
      </c>
      <c r="I222">
        <v>2799437</v>
      </c>
      <c r="J222">
        <v>190996</v>
      </c>
      <c r="K222">
        <v>6.8226575557871094E-2</v>
      </c>
    </row>
    <row r="223" spans="1:11" x14ac:dyDescent="0.25">
      <c r="A223">
        <v>13</v>
      </c>
      <c r="B223">
        <v>2036</v>
      </c>
      <c r="C223" t="s">
        <v>60</v>
      </c>
      <c r="D223" t="s">
        <v>66</v>
      </c>
      <c r="E223">
        <v>90</v>
      </c>
      <c r="G223">
        <v>4409589</v>
      </c>
      <c r="H223">
        <v>73381</v>
      </c>
      <c r="I223">
        <v>4459439</v>
      </c>
      <c r="J223">
        <v>491123</v>
      </c>
      <c r="K223">
        <v>0.1101311173894295</v>
      </c>
    </row>
    <row r="224" spans="1:11" x14ac:dyDescent="0.25">
      <c r="A224">
        <v>13</v>
      </c>
      <c r="B224">
        <v>2036</v>
      </c>
      <c r="C224" t="s">
        <v>67</v>
      </c>
      <c r="D224" t="s">
        <v>61</v>
      </c>
      <c r="E224">
        <v>65</v>
      </c>
      <c r="F224">
        <v>69</v>
      </c>
      <c r="G224">
        <v>135923</v>
      </c>
      <c r="H224">
        <v>594</v>
      </c>
      <c r="I224">
        <v>136333</v>
      </c>
      <c r="J224">
        <v>1352</v>
      </c>
      <c r="K224">
        <v>9.9168946623341379E-3</v>
      </c>
    </row>
    <row r="225" spans="1:11" x14ac:dyDescent="0.25">
      <c r="A225">
        <v>13</v>
      </c>
      <c r="B225">
        <v>2036</v>
      </c>
      <c r="C225" t="s">
        <v>67</v>
      </c>
      <c r="D225" t="s">
        <v>62</v>
      </c>
      <c r="E225">
        <v>70</v>
      </c>
      <c r="F225">
        <v>74</v>
      </c>
      <c r="G225">
        <v>355859</v>
      </c>
      <c r="H225">
        <v>1975</v>
      </c>
      <c r="I225">
        <v>360292</v>
      </c>
      <c r="J225">
        <v>7776</v>
      </c>
      <c r="K225">
        <v>2.1582494199149579E-2</v>
      </c>
    </row>
    <row r="226" spans="1:11" x14ac:dyDescent="0.25">
      <c r="A226">
        <v>13</v>
      </c>
      <c r="B226">
        <v>2036</v>
      </c>
      <c r="C226" t="s">
        <v>67</v>
      </c>
      <c r="D226" t="s">
        <v>63</v>
      </c>
      <c r="E226">
        <v>75</v>
      </c>
      <c r="F226">
        <v>79</v>
      </c>
      <c r="G226">
        <v>923110</v>
      </c>
      <c r="H226">
        <v>6399</v>
      </c>
      <c r="I226">
        <v>946968</v>
      </c>
      <c r="J226">
        <v>36743</v>
      </c>
      <c r="K226">
        <v>3.8800677530814127E-2</v>
      </c>
    </row>
    <row r="227" spans="1:11" x14ac:dyDescent="0.25">
      <c r="A227">
        <v>13</v>
      </c>
      <c r="B227">
        <v>2036</v>
      </c>
      <c r="C227" t="s">
        <v>67</v>
      </c>
      <c r="D227" t="s">
        <v>64</v>
      </c>
      <c r="E227">
        <v>80</v>
      </c>
      <c r="F227">
        <v>84</v>
      </c>
      <c r="G227">
        <v>1461331</v>
      </c>
      <c r="H227">
        <v>12814</v>
      </c>
      <c r="I227">
        <v>1511581</v>
      </c>
      <c r="J227">
        <v>80732</v>
      </c>
      <c r="K227">
        <v>5.3408980398668683E-2</v>
      </c>
    </row>
    <row r="228" spans="1:11" x14ac:dyDescent="0.25">
      <c r="A228">
        <v>13</v>
      </c>
      <c r="B228">
        <v>2036</v>
      </c>
      <c r="C228" t="s">
        <v>67</v>
      </c>
      <c r="D228" t="s">
        <v>65</v>
      </c>
      <c r="E228">
        <v>85</v>
      </c>
      <c r="F228">
        <v>89</v>
      </c>
      <c r="G228">
        <v>1455152</v>
      </c>
      <c r="H228">
        <v>15637</v>
      </c>
      <c r="I228">
        <v>1508190</v>
      </c>
      <c r="J228">
        <v>102744</v>
      </c>
      <c r="K228">
        <v>6.8124042726712158E-2</v>
      </c>
    </row>
    <row r="229" spans="1:11" x14ac:dyDescent="0.25">
      <c r="A229">
        <v>13</v>
      </c>
      <c r="B229">
        <v>2036</v>
      </c>
      <c r="C229" t="s">
        <v>67</v>
      </c>
      <c r="D229" t="s">
        <v>66</v>
      </c>
      <c r="E229">
        <v>90</v>
      </c>
      <c r="G229">
        <v>2498712</v>
      </c>
      <c r="H229">
        <v>42125</v>
      </c>
      <c r="I229">
        <v>2548219</v>
      </c>
      <c r="J229">
        <v>288243</v>
      </c>
      <c r="K229">
        <v>0.1131154739839865</v>
      </c>
    </row>
    <row r="230" spans="1:11" x14ac:dyDescent="0.25">
      <c r="A230">
        <v>13</v>
      </c>
      <c r="B230">
        <v>2036</v>
      </c>
      <c r="C230" t="s">
        <v>68</v>
      </c>
      <c r="D230" t="s">
        <v>61</v>
      </c>
      <c r="E230">
        <v>65</v>
      </c>
      <c r="F230">
        <v>69</v>
      </c>
      <c r="G230">
        <v>115676</v>
      </c>
      <c r="H230">
        <v>535</v>
      </c>
      <c r="I230">
        <v>115875</v>
      </c>
      <c r="J230">
        <v>1197</v>
      </c>
      <c r="K230">
        <v>1.0330097087378641E-2</v>
      </c>
    </row>
    <row r="231" spans="1:11" x14ac:dyDescent="0.25">
      <c r="A231">
        <v>13</v>
      </c>
      <c r="B231">
        <v>2036</v>
      </c>
      <c r="C231" t="s">
        <v>68</v>
      </c>
      <c r="D231" t="s">
        <v>62</v>
      </c>
      <c r="E231">
        <v>70</v>
      </c>
      <c r="F231">
        <v>74</v>
      </c>
      <c r="G231">
        <v>301124</v>
      </c>
      <c r="H231">
        <v>1656</v>
      </c>
      <c r="I231">
        <v>304274</v>
      </c>
      <c r="J231">
        <v>6647</v>
      </c>
      <c r="K231">
        <v>2.1845441937201341E-2</v>
      </c>
    </row>
    <row r="232" spans="1:11" x14ac:dyDescent="0.25">
      <c r="A232">
        <v>13</v>
      </c>
      <c r="B232">
        <v>2036</v>
      </c>
      <c r="C232" t="s">
        <v>68</v>
      </c>
      <c r="D232" t="s">
        <v>63</v>
      </c>
      <c r="E232">
        <v>75</v>
      </c>
      <c r="F232">
        <v>79</v>
      </c>
      <c r="G232">
        <v>809107</v>
      </c>
      <c r="H232">
        <v>5597</v>
      </c>
      <c r="I232">
        <v>827685</v>
      </c>
      <c r="J232">
        <v>32868</v>
      </c>
      <c r="K232">
        <v>3.9710759528081327E-2</v>
      </c>
    </row>
    <row r="233" spans="1:11" x14ac:dyDescent="0.25">
      <c r="A233">
        <v>13</v>
      </c>
      <c r="B233">
        <v>2036</v>
      </c>
      <c r="C233" t="s">
        <v>68</v>
      </c>
      <c r="D233" t="s">
        <v>64</v>
      </c>
      <c r="E233">
        <v>80</v>
      </c>
      <c r="F233">
        <v>84</v>
      </c>
      <c r="G233">
        <v>1293011</v>
      </c>
      <c r="H233">
        <v>11313</v>
      </c>
      <c r="I233">
        <v>1330954</v>
      </c>
      <c r="J233">
        <v>71859</v>
      </c>
      <c r="K233">
        <v>5.3990596218952719E-2</v>
      </c>
    </row>
    <row r="234" spans="1:11" x14ac:dyDescent="0.25">
      <c r="A234">
        <v>13</v>
      </c>
      <c r="B234">
        <v>2036</v>
      </c>
      <c r="C234" t="s">
        <v>68</v>
      </c>
      <c r="D234" t="s">
        <v>65</v>
      </c>
      <c r="E234">
        <v>85</v>
      </c>
      <c r="F234">
        <v>89</v>
      </c>
      <c r="G234">
        <v>1256268</v>
      </c>
      <c r="H234">
        <v>13582</v>
      </c>
      <c r="I234">
        <v>1291247</v>
      </c>
      <c r="J234">
        <v>88252</v>
      </c>
      <c r="K234">
        <v>6.8346334976964129E-2</v>
      </c>
    </row>
    <row r="235" spans="1:11" x14ac:dyDescent="0.25">
      <c r="A235">
        <v>13</v>
      </c>
      <c r="B235">
        <v>2036</v>
      </c>
      <c r="C235" t="s">
        <v>68</v>
      </c>
      <c r="D235" t="s">
        <v>66</v>
      </c>
      <c r="E235">
        <v>90</v>
      </c>
      <c r="G235">
        <v>1910877</v>
      </c>
      <c r="H235">
        <v>31256</v>
      </c>
      <c r="I235">
        <v>1911220</v>
      </c>
      <c r="J235">
        <v>202880</v>
      </c>
      <c r="K235">
        <v>0.106152091334331</v>
      </c>
    </row>
    <row r="236" spans="1:11" x14ac:dyDescent="0.25">
      <c r="A236">
        <v>14</v>
      </c>
      <c r="B236">
        <v>2037</v>
      </c>
      <c r="C236" t="s">
        <v>60</v>
      </c>
      <c r="D236" t="s">
        <v>61</v>
      </c>
      <c r="E236">
        <v>65</v>
      </c>
      <c r="F236">
        <v>69</v>
      </c>
      <c r="G236">
        <v>247034</v>
      </c>
      <c r="H236">
        <v>1056</v>
      </c>
      <c r="I236">
        <v>247693</v>
      </c>
      <c r="J236">
        <v>2495</v>
      </c>
      <c r="K236">
        <v>1.007295321224258E-2</v>
      </c>
    </row>
    <row r="237" spans="1:11" x14ac:dyDescent="0.25">
      <c r="A237">
        <v>14</v>
      </c>
      <c r="B237">
        <v>2037</v>
      </c>
      <c r="C237" t="s">
        <v>60</v>
      </c>
      <c r="D237" t="s">
        <v>62</v>
      </c>
      <c r="E237">
        <v>70</v>
      </c>
      <c r="F237">
        <v>74</v>
      </c>
      <c r="G237">
        <v>653974</v>
      </c>
      <c r="H237">
        <v>3438</v>
      </c>
      <c r="I237">
        <v>661755</v>
      </c>
      <c r="J237">
        <v>14324</v>
      </c>
      <c r="K237">
        <v>2.1645473022493221E-2</v>
      </c>
    </row>
    <row r="238" spans="1:11" x14ac:dyDescent="0.25">
      <c r="A238">
        <v>14</v>
      </c>
      <c r="B238">
        <v>2037</v>
      </c>
      <c r="C238" t="s">
        <v>60</v>
      </c>
      <c r="D238" t="s">
        <v>63</v>
      </c>
      <c r="E238">
        <v>75</v>
      </c>
      <c r="F238">
        <v>79</v>
      </c>
      <c r="G238">
        <v>1464705</v>
      </c>
      <c r="H238">
        <v>10343</v>
      </c>
      <c r="I238">
        <v>1496493</v>
      </c>
      <c r="J238">
        <v>54267</v>
      </c>
      <c r="K238">
        <v>3.6262782385216637E-2</v>
      </c>
    </row>
    <row r="239" spans="1:11" x14ac:dyDescent="0.25">
      <c r="A239">
        <v>14</v>
      </c>
      <c r="B239">
        <v>2037</v>
      </c>
      <c r="C239" t="s">
        <v>60</v>
      </c>
      <c r="D239" t="s">
        <v>64</v>
      </c>
      <c r="E239">
        <v>80</v>
      </c>
      <c r="F239">
        <v>84</v>
      </c>
      <c r="G239">
        <v>2811459</v>
      </c>
      <c r="H239">
        <v>24355</v>
      </c>
      <c r="I239">
        <v>2904364</v>
      </c>
      <c r="J239">
        <v>156980</v>
      </c>
      <c r="K239">
        <v>5.4049699004670222E-2</v>
      </c>
    </row>
    <row r="240" spans="1:11" x14ac:dyDescent="0.25">
      <c r="A240">
        <v>14</v>
      </c>
      <c r="B240">
        <v>2037</v>
      </c>
      <c r="C240" t="s">
        <v>60</v>
      </c>
      <c r="D240" t="s">
        <v>65</v>
      </c>
      <c r="E240">
        <v>85</v>
      </c>
      <c r="F240">
        <v>89</v>
      </c>
      <c r="G240">
        <v>2762617</v>
      </c>
      <c r="H240">
        <v>30064</v>
      </c>
      <c r="I240">
        <v>2855702</v>
      </c>
      <c r="J240">
        <v>196327</v>
      </c>
      <c r="K240">
        <v>6.8749120181307438E-2</v>
      </c>
    </row>
    <row r="241" spans="1:11" x14ac:dyDescent="0.25">
      <c r="A241">
        <v>14</v>
      </c>
      <c r="B241">
        <v>2037</v>
      </c>
      <c r="C241" t="s">
        <v>60</v>
      </c>
      <c r="D241" t="s">
        <v>66</v>
      </c>
      <c r="E241">
        <v>90</v>
      </c>
      <c r="G241">
        <v>4691940</v>
      </c>
      <c r="H241">
        <v>79830</v>
      </c>
      <c r="I241">
        <v>4843167</v>
      </c>
      <c r="J241">
        <v>535758</v>
      </c>
      <c r="K241">
        <v>0.1106214177623856</v>
      </c>
    </row>
    <row r="242" spans="1:11" x14ac:dyDescent="0.25">
      <c r="A242">
        <v>14</v>
      </c>
      <c r="B242">
        <v>2037</v>
      </c>
      <c r="C242" t="s">
        <v>67</v>
      </c>
      <c r="D242" t="s">
        <v>61</v>
      </c>
      <c r="E242">
        <v>65</v>
      </c>
      <c r="F242">
        <v>69</v>
      </c>
      <c r="G242">
        <v>133924</v>
      </c>
      <c r="H242">
        <v>552</v>
      </c>
      <c r="I242">
        <v>134354</v>
      </c>
      <c r="J242">
        <v>1318</v>
      </c>
      <c r="K242">
        <v>9.8099051758786492E-3</v>
      </c>
    </row>
    <row r="243" spans="1:11" x14ac:dyDescent="0.25">
      <c r="A243">
        <v>14</v>
      </c>
      <c r="B243">
        <v>2037</v>
      </c>
      <c r="C243" t="s">
        <v>67</v>
      </c>
      <c r="D243" t="s">
        <v>62</v>
      </c>
      <c r="E243">
        <v>70</v>
      </c>
      <c r="F243">
        <v>74</v>
      </c>
      <c r="G243">
        <v>354304</v>
      </c>
      <c r="H243">
        <v>1860</v>
      </c>
      <c r="I243">
        <v>358805</v>
      </c>
      <c r="J243">
        <v>7688</v>
      </c>
      <c r="K243">
        <v>2.1426680230208609E-2</v>
      </c>
    </row>
    <row r="244" spans="1:11" x14ac:dyDescent="0.25">
      <c r="A244">
        <v>14</v>
      </c>
      <c r="B244">
        <v>2037</v>
      </c>
      <c r="C244" t="s">
        <v>67</v>
      </c>
      <c r="D244" t="s">
        <v>63</v>
      </c>
      <c r="E244">
        <v>75</v>
      </c>
      <c r="F244">
        <v>79</v>
      </c>
      <c r="G244">
        <v>786719</v>
      </c>
      <c r="H244">
        <v>5500</v>
      </c>
      <c r="I244">
        <v>804764</v>
      </c>
      <c r="J244">
        <v>28876</v>
      </c>
      <c r="K244">
        <v>3.5881326699504452E-2</v>
      </c>
    </row>
    <row r="245" spans="1:11" x14ac:dyDescent="0.25">
      <c r="A245">
        <v>14</v>
      </c>
      <c r="B245">
        <v>2037</v>
      </c>
      <c r="C245" t="s">
        <v>67</v>
      </c>
      <c r="D245" t="s">
        <v>64</v>
      </c>
      <c r="E245">
        <v>80</v>
      </c>
      <c r="F245">
        <v>84</v>
      </c>
      <c r="G245">
        <v>1493988</v>
      </c>
      <c r="H245">
        <v>12921</v>
      </c>
      <c r="I245">
        <v>1546603</v>
      </c>
      <c r="J245">
        <v>83048</v>
      </c>
      <c r="K245">
        <v>5.3697037959967747E-2</v>
      </c>
    </row>
    <row r="246" spans="1:11" x14ac:dyDescent="0.25">
      <c r="A246">
        <v>14</v>
      </c>
      <c r="B246">
        <v>2037</v>
      </c>
      <c r="C246" t="s">
        <v>67</v>
      </c>
      <c r="D246" t="s">
        <v>65</v>
      </c>
      <c r="E246">
        <v>85</v>
      </c>
      <c r="F246">
        <v>89</v>
      </c>
      <c r="G246">
        <v>1484217</v>
      </c>
      <c r="H246">
        <v>16368</v>
      </c>
      <c r="I246">
        <v>1539878</v>
      </c>
      <c r="J246">
        <v>105940</v>
      </c>
      <c r="K246">
        <v>6.8797657996282818E-2</v>
      </c>
    </row>
    <row r="247" spans="1:11" x14ac:dyDescent="0.25">
      <c r="A247">
        <v>14</v>
      </c>
      <c r="B247">
        <v>2037</v>
      </c>
      <c r="C247" t="s">
        <v>67</v>
      </c>
      <c r="D247" t="s">
        <v>66</v>
      </c>
      <c r="E247">
        <v>90</v>
      </c>
      <c r="G247">
        <v>2651514</v>
      </c>
      <c r="H247">
        <v>46637</v>
      </c>
      <c r="I247">
        <v>2796579</v>
      </c>
      <c r="J247">
        <v>318720</v>
      </c>
      <c r="K247">
        <v>0.1139678156776547</v>
      </c>
    </row>
    <row r="248" spans="1:11" x14ac:dyDescent="0.25">
      <c r="A248">
        <v>14</v>
      </c>
      <c r="B248">
        <v>2037</v>
      </c>
      <c r="C248" t="s">
        <v>68</v>
      </c>
      <c r="D248" t="s">
        <v>61</v>
      </c>
      <c r="E248">
        <v>65</v>
      </c>
      <c r="F248">
        <v>69</v>
      </c>
      <c r="G248">
        <v>113110</v>
      </c>
      <c r="H248">
        <v>504</v>
      </c>
      <c r="I248">
        <v>113339</v>
      </c>
      <c r="J248">
        <v>1177</v>
      </c>
      <c r="K248">
        <v>1.0384774878903109E-2</v>
      </c>
    </row>
    <row r="249" spans="1:11" x14ac:dyDescent="0.25">
      <c r="A249">
        <v>14</v>
      </c>
      <c r="B249">
        <v>2037</v>
      </c>
      <c r="C249" t="s">
        <v>68</v>
      </c>
      <c r="D249" t="s">
        <v>62</v>
      </c>
      <c r="E249">
        <v>70</v>
      </c>
      <c r="F249">
        <v>74</v>
      </c>
      <c r="G249">
        <v>299670</v>
      </c>
      <c r="H249">
        <v>1578</v>
      </c>
      <c r="I249">
        <v>302950</v>
      </c>
      <c r="J249">
        <v>6636</v>
      </c>
      <c r="K249">
        <v>2.190460472025087E-2</v>
      </c>
    </row>
    <row r="250" spans="1:11" x14ac:dyDescent="0.25">
      <c r="A250">
        <v>14</v>
      </c>
      <c r="B250">
        <v>2037</v>
      </c>
      <c r="C250" t="s">
        <v>68</v>
      </c>
      <c r="D250" t="s">
        <v>63</v>
      </c>
      <c r="E250">
        <v>75</v>
      </c>
      <c r="F250">
        <v>79</v>
      </c>
      <c r="G250">
        <v>677986</v>
      </c>
      <c r="H250">
        <v>4843</v>
      </c>
      <c r="I250">
        <v>691729</v>
      </c>
      <c r="J250">
        <v>25391</v>
      </c>
      <c r="K250">
        <v>3.6706571504158417E-2</v>
      </c>
    </row>
    <row r="251" spans="1:11" x14ac:dyDescent="0.25">
      <c r="A251">
        <v>14</v>
      </c>
      <c r="B251">
        <v>2037</v>
      </c>
      <c r="C251" t="s">
        <v>68</v>
      </c>
      <c r="D251" t="s">
        <v>64</v>
      </c>
      <c r="E251">
        <v>80</v>
      </c>
      <c r="F251">
        <v>84</v>
      </c>
      <c r="G251">
        <v>1317471</v>
      </c>
      <c r="H251">
        <v>11434</v>
      </c>
      <c r="I251">
        <v>1357761</v>
      </c>
      <c r="J251">
        <v>73932</v>
      </c>
      <c r="K251">
        <v>5.4451409342292201E-2</v>
      </c>
    </row>
    <row r="252" spans="1:11" x14ac:dyDescent="0.25">
      <c r="A252">
        <v>14</v>
      </c>
      <c r="B252">
        <v>2037</v>
      </c>
      <c r="C252" t="s">
        <v>68</v>
      </c>
      <c r="D252" t="s">
        <v>65</v>
      </c>
      <c r="E252">
        <v>85</v>
      </c>
      <c r="F252">
        <v>89</v>
      </c>
      <c r="G252">
        <v>1278400</v>
      </c>
      <c r="H252">
        <v>13696</v>
      </c>
      <c r="I252">
        <v>1315824</v>
      </c>
      <c r="J252">
        <v>90387</v>
      </c>
      <c r="K252">
        <v>6.8692317513588438E-2</v>
      </c>
    </row>
    <row r="253" spans="1:11" x14ac:dyDescent="0.25">
      <c r="A253">
        <v>14</v>
      </c>
      <c r="B253">
        <v>2037</v>
      </c>
      <c r="C253" t="s">
        <v>68</v>
      </c>
      <c r="D253" t="s">
        <v>66</v>
      </c>
      <c r="E253">
        <v>90</v>
      </c>
      <c r="G253">
        <v>2040426</v>
      </c>
      <c r="H253">
        <v>33193</v>
      </c>
      <c r="I253">
        <v>2046588</v>
      </c>
      <c r="J253">
        <v>217038</v>
      </c>
      <c r="K253">
        <v>0.1060487015461832</v>
      </c>
    </row>
    <row r="254" spans="1:11" x14ac:dyDescent="0.25">
      <c r="A254">
        <v>15</v>
      </c>
      <c r="B254">
        <v>2038</v>
      </c>
      <c r="C254" t="s">
        <v>60</v>
      </c>
      <c r="D254" t="s">
        <v>61</v>
      </c>
      <c r="E254">
        <v>65</v>
      </c>
      <c r="F254">
        <v>69</v>
      </c>
      <c r="G254">
        <v>242423</v>
      </c>
      <c r="H254">
        <v>1043</v>
      </c>
      <c r="I254">
        <v>243097</v>
      </c>
      <c r="J254">
        <v>2429</v>
      </c>
      <c r="K254">
        <v>9.9918962389498843E-3</v>
      </c>
    </row>
    <row r="255" spans="1:11" x14ac:dyDescent="0.25">
      <c r="A255">
        <v>15</v>
      </c>
      <c r="B255">
        <v>2038</v>
      </c>
      <c r="C255" t="s">
        <v>60</v>
      </c>
      <c r="D255" t="s">
        <v>62</v>
      </c>
      <c r="E255">
        <v>70</v>
      </c>
      <c r="F255">
        <v>74</v>
      </c>
      <c r="G255">
        <v>649792</v>
      </c>
      <c r="H255">
        <v>3609</v>
      </c>
      <c r="I255">
        <v>657395</v>
      </c>
      <c r="J255">
        <v>14256</v>
      </c>
      <c r="K255">
        <v>2.1685592375968791E-2</v>
      </c>
    </row>
    <row r="256" spans="1:11" x14ac:dyDescent="0.25">
      <c r="A256">
        <v>15</v>
      </c>
      <c r="B256">
        <v>2038</v>
      </c>
      <c r="C256" t="s">
        <v>60</v>
      </c>
      <c r="D256" t="s">
        <v>63</v>
      </c>
      <c r="E256">
        <v>75</v>
      </c>
      <c r="F256">
        <v>79</v>
      </c>
      <c r="G256">
        <v>1188939</v>
      </c>
      <c r="H256">
        <v>8132</v>
      </c>
      <c r="I256">
        <v>1209667</v>
      </c>
      <c r="J256">
        <v>37957</v>
      </c>
      <c r="K256">
        <v>3.137805693633041E-2</v>
      </c>
    </row>
    <row r="257" spans="1:11" x14ac:dyDescent="0.25">
      <c r="A257">
        <v>15</v>
      </c>
      <c r="B257">
        <v>2038</v>
      </c>
      <c r="C257" t="s">
        <v>60</v>
      </c>
      <c r="D257" t="s">
        <v>64</v>
      </c>
      <c r="E257">
        <v>80</v>
      </c>
      <c r="F257">
        <v>84</v>
      </c>
      <c r="G257">
        <v>2877800</v>
      </c>
      <c r="H257">
        <v>25092</v>
      </c>
      <c r="I257">
        <v>2974014</v>
      </c>
      <c r="J257">
        <v>161044</v>
      </c>
      <c r="K257">
        <v>5.4150383959187823E-2</v>
      </c>
    </row>
    <row r="258" spans="1:11" x14ac:dyDescent="0.25">
      <c r="A258">
        <v>15</v>
      </c>
      <c r="B258">
        <v>2038</v>
      </c>
      <c r="C258" t="s">
        <v>60</v>
      </c>
      <c r="D258" t="s">
        <v>65</v>
      </c>
      <c r="E258">
        <v>85</v>
      </c>
      <c r="F258">
        <v>89</v>
      </c>
      <c r="G258">
        <v>2802605</v>
      </c>
      <c r="H258">
        <v>31078</v>
      </c>
      <c r="I258">
        <v>2899701</v>
      </c>
      <c r="J258">
        <v>200773</v>
      </c>
      <c r="K258">
        <v>6.9239207766593869E-2</v>
      </c>
    </row>
    <row r="259" spans="1:11" x14ac:dyDescent="0.25">
      <c r="A259">
        <v>15</v>
      </c>
      <c r="B259">
        <v>2038</v>
      </c>
      <c r="C259" t="s">
        <v>60</v>
      </c>
      <c r="D259" t="s">
        <v>66</v>
      </c>
      <c r="E259">
        <v>90</v>
      </c>
      <c r="G259">
        <v>5052140</v>
      </c>
      <c r="H259">
        <v>84701</v>
      </c>
      <c r="I259">
        <v>5133530</v>
      </c>
      <c r="J259">
        <v>568341</v>
      </c>
      <c r="K259">
        <v>0.1107115376748553</v>
      </c>
    </row>
    <row r="260" spans="1:11" x14ac:dyDescent="0.25">
      <c r="A260">
        <v>15</v>
      </c>
      <c r="B260">
        <v>2038</v>
      </c>
      <c r="C260" t="s">
        <v>67</v>
      </c>
      <c r="D260" t="s">
        <v>61</v>
      </c>
      <c r="E260">
        <v>65</v>
      </c>
      <c r="F260">
        <v>69</v>
      </c>
      <c r="G260">
        <v>131510</v>
      </c>
      <c r="H260">
        <v>552</v>
      </c>
      <c r="I260">
        <v>131929</v>
      </c>
      <c r="J260">
        <v>1279</v>
      </c>
      <c r="K260">
        <v>9.6946084636433238E-3</v>
      </c>
    </row>
    <row r="261" spans="1:11" x14ac:dyDescent="0.25">
      <c r="A261">
        <v>15</v>
      </c>
      <c r="B261">
        <v>2038</v>
      </c>
      <c r="C261" t="s">
        <v>67</v>
      </c>
      <c r="D261" t="s">
        <v>62</v>
      </c>
      <c r="E261">
        <v>70</v>
      </c>
      <c r="F261">
        <v>74</v>
      </c>
      <c r="G261">
        <v>352381</v>
      </c>
      <c r="H261">
        <v>1927</v>
      </c>
      <c r="I261">
        <v>356803</v>
      </c>
      <c r="J261">
        <v>7659</v>
      </c>
      <c r="K261">
        <v>2.146562669035855E-2</v>
      </c>
    </row>
    <row r="262" spans="1:11" x14ac:dyDescent="0.25">
      <c r="A262">
        <v>15</v>
      </c>
      <c r="B262">
        <v>2038</v>
      </c>
      <c r="C262" t="s">
        <v>67</v>
      </c>
      <c r="D262" t="s">
        <v>63</v>
      </c>
      <c r="E262">
        <v>75</v>
      </c>
      <c r="F262">
        <v>79</v>
      </c>
      <c r="G262">
        <v>644568</v>
      </c>
      <c r="H262">
        <v>4413</v>
      </c>
      <c r="I262">
        <v>656722</v>
      </c>
      <c r="J262">
        <v>20500</v>
      </c>
      <c r="K262">
        <v>3.1215643757937148E-2</v>
      </c>
    </row>
    <row r="263" spans="1:11" x14ac:dyDescent="0.25">
      <c r="A263">
        <v>15</v>
      </c>
      <c r="B263">
        <v>2038</v>
      </c>
      <c r="C263" t="s">
        <v>67</v>
      </c>
      <c r="D263" t="s">
        <v>64</v>
      </c>
      <c r="E263">
        <v>80</v>
      </c>
      <c r="F263">
        <v>84</v>
      </c>
      <c r="G263">
        <v>1531323</v>
      </c>
      <c r="H263">
        <v>13427</v>
      </c>
      <c r="I263">
        <v>1585601</v>
      </c>
      <c r="J263">
        <v>85345</v>
      </c>
      <c r="K263">
        <v>5.3825016507936113E-2</v>
      </c>
    </row>
    <row r="264" spans="1:11" x14ac:dyDescent="0.25">
      <c r="A264">
        <v>15</v>
      </c>
      <c r="B264">
        <v>2038</v>
      </c>
      <c r="C264" t="s">
        <v>67</v>
      </c>
      <c r="D264" t="s">
        <v>65</v>
      </c>
      <c r="E264">
        <v>85</v>
      </c>
      <c r="F264">
        <v>89</v>
      </c>
      <c r="G264">
        <v>1506772</v>
      </c>
      <c r="H264">
        <v>16764</v>
      </c>
      <c r="I264">
        <v>1564628</v>
      </c>
      <c r="J264">
        <v>108281</v>
      </c>
      <c r="K264">
        <v>6.9205587526236262E-2</v>
      </c>
    </row>
    <row r="265" spans="1:11" x14ac:dyDescent="0.25">
      <c r="A265">
        <v>15</v>
      </c>
      <c r="B265">
        <v>2038</v>
      </c>
      <c r="C265" t="s">
        <v>67</v>
      </c>
      <c r="D265" t="s">
        <v>66</v>
      </c>
      <c r="E265">
        <v>90</v>
      </c>
      <c r="G265">
        <v>2882066</v>
      </c>
      <c r="H265">
        <v>49236</v>
      </c>
      <c r="I265">
        <v>2950959</v>
      </c>
      <c r="J265">
        <v>335843</v>
      </c>
      <c r="K265">
        <v>0.11380808747258089</v>
      </c>
    </row>
    <row r="266" spans="1:11" x14ac:dyDescent="0.25">
      <c r="A266">
        <v>15</v>
      </c>
      <c r="B266">
        <v>2038</v>
      </c>
      <c r="C266" t="s">
        <v>68</v>
      </c>
      <c r="D266" t="s">
        <v>61</v>
      </c>
      <c r="E266">
        <v>65</v>
      </c>
      <c r="F266">
        <v>69</v>
      </c>
      <c r="G266">
        <v>110913</v>
      </c>
      <c r="H266">
        <v>491</v>
      </c>
      <c r="I266">
        <v>111168</v>
      </c>
      <c r="J266">
        <v>1150</v>
      </c>
      <c r="K266">
        <v>1.034470351180196E-2</v>
      </c>
    </row>
    <row r="267" spans="1:11" x14ac:dyDescent="0.25">
      <c r="A267">
        <v>15</v>
      </c>
      <c r="B267">
        <v>2038</v>
      </c>
      <c r="C267" t="s">
        <v>68</v>
      </c>
      <c r="D267" t="s">
        <v>62</v>
      </c>
      <c r="E267">
        <v>70</v>
      </c>
      <c r="F267">
        <v>74</v>
      </c>
      <c r="G267">
        <v>297411</v>
      </c>
      <c r="H267">
        <v>1682</v>
      </c>
      <c r="I267">
        <v>300592</v>
      </c>
      <c r="J267">
        <v>6597</v>
      </c>
      <c r="K267">
        <v>2.194669186139352E-2</v>
      </c>
    </row>
    <row r="268" spans="1:11" x14ac:dyDescent="0.25">
      <c r="A268">
        <v>15</v>
      </c>
      <c r="B268">
        <v>2038</v>
      </c>
      <c r="C268" t="s">
        <v>68</v>
      </c>
      <c r="D268" t="s">
        <v>63</v>
      </c>
      <c r="E268">
        <v>75</v>
      </c>
      <c r="F268">
        <v>79</v>
      </c>
      <c r="G268">
        <v>544371</v>
      </c>
      <c r="H268">
        <v>3719</v>
      </c>
      <c r="I268">
        <v>552945</v>
      </c>
      <c r="J268">
        <v>17457</v>
      </c>
      <c r="K268">
        <v>3.157095190299216E-2</v>
      </c>
    </row>
    <row r="269" spans="1:11" x14ac:dyDescent="0.25">
      <c r="A269">
        <v>15</v>
      </c>
      <c r="B269">
        <v>2038</v>
      </c>
      <c r="C269" t="s">
        <v>68</v>
      </c>
      <c r="D269" t="s">
        <v>64</v>
      </c>
      <c r="E269">
        <v>80</v>
      </c>
      <c r="F269">
        <v>84</v>
      </c>
      <c r="G269">
        <v>1346477</v>
      </c>
      <c r="H269">
        <v>11665</v>
      </c>
      <c r="I269">
        <v>1388413</v>
      </c>
      <c r="J269">
        <v>75699</v>
      </c>
      <c r="K269">
        <v>5.4521961404855761E-2</v>
      </c>
    </row>
    <row r="270" spans="1:11" x14ac:dyDescent="0.25">
      <c r="A270">
        <v>15</v>
      </c>
      <c r="B270">
        <v>2038</v>
      </c>
      <c r="C270" t="s">
        <v>68</v>
      </c>
      <c r="D270" t="s">
        <v>65</v>
      </c>
      <c r="E270">
        <v>85</v>
      </c>
      <c r="F270">
        <v>89</v>
      </c>
      <c r="G270">
        <v>1295833</v>
      </c>
      <c r="H270">
        <v>14314</v>
      </c>
      <c r="I270">
        <v>1335073</v>
      </c>
      <c r="J270">
        <v>92492</v>
      </c>
      <c r="K270">
        <v>6.9278608735252684E-2</v>
      </c>
    </row>
    <row r="271" spans="1:11" x14ac:dyDescent="0.25">
      <c r="A271">
        <v>15</v>
      </c>
      <c r="B271">
        <v>2038</v>
      </c>
      <c r="C271" t="s">
        <v>68</v>
      </c>
      <c r="D271" t="s">
        <v>66</v>
      </c>
      <c r="E271">
        <v>90</v>
      </c>
      <c r="G271">
        <v>2170074</v>
      </c>
      <c r="H271">
        <v>35465</v>
      </c>
      <c r="I271">
        <v>2182571</v>
      </c>
      <c r="J271">
        <v>232498</v>
      </c>
      <c r="K271">
        <v>0.1065248278291978</v>
      </c>
    </row>
    <row r="272" spans="1:11" x14ac:dyDescent="0.25">
      <c r="A272">
        <v>16</v>
      </c>
      <c r="B272">
        <v>2039</v>
      </c>
      <c r="C272" t="s">
        <v>60</v>
      </c>
      <c r="D272" t="s">
        <v>61</v>
      </c>
      <c r="E272">
        <v>65</v>
      </c>
      <c r="F272">
        <v>69</v>
      </c>
      <c r="G272">
        <v>238044</v>
      </c>
      <c r="H272">
        <v>1023</v>
      </c>
      <c r="I272">
        <v>238633</v>
      </c>
      <c r="J272">
        <v>2347</v>
      </c>
      <c r="K272">
        <v>9.835186248339501E-3</v>
      </c>
    </row>
    <row r="273" spans="1:11" x14ac:dyDescent="0.25">
      <c r="A273">
        <v>16</v>
      </c>
      <c r="B273">
        <v>2039</v>
      </c>
      <c r="C273" t="s">
        <v>60</v>
      </c>
      <c r="D273" t="s">
        <v>62</v>
      </c>
      <c r="E273">
        <v>70</v>
      </c>
      <c r="F273">
        <v>74</v>
      </c>
      <c r="G273">
        <v>642892</v>
      </c>
      <c r="H273">
        <v>3450</v>
      </c>
      <c r="I273">
        <v>650492</v>
      </c>
      <c r="J273">
        <v>13960</v>
      </c>
      <c r="K273">
        <v>2.146067899374627E-2</v>
      </c>
    </row>
    <row r="274" spans="1:11" x14ac:dyDescent="0.25">
      <c r="A274">
        <v>16</v>
      </c>
      <c r="B274">
        <v>2039</v>
      </c>
      <c r="C274" t="s">
        <v>60</v>
      </c>
      <c r="D274" t="s">
        <v>63</v>
      </c>
      <c r="E274">
        <v>75</v>
      </c>
      <c r="F274">
        <v>79</v>
      </c>
      <c r="G274">
        <v>1203425</v>
      </c>
      <c r="H274">
        <v>8341</v>
      </c>
      <c r="I274">
        <v>1224428</v>
      </c>
      <c r="J274">
        <v>38468</v>
      </c>
      <c r="K274">
        <v>3.1417118850598003E-2</v>
      </c>
    </row>
    <row r="275" spans="1:11" x14ac:dyDescent="0.25">
      <c r="A275">
        <v>16</v>
      </c>
      <c r="B275">
        <v>2039</v>
      </c>
      <c r="C275" t="s">
        <v>60</v>
      </c>
      <c r="D275" t="s">
        <v>64</v>
      </c>
      <c r="E275">
        <v>80</v>
      </c>
      <c r="F275">
        <v>84</v>
      </c>
      <c r="G275">
        <v>2656071</v>
      </c>
      <c r="H275">
        <v>23405</v>
      </c>
      <c r="I275">
        <v>2743657</v>
      </c>
      <c r="J275">
        <v>147760</v>
      </c>
      <c r="K275">
        <v>5.3855128392506793E-2</v>
      </c>
    </row>
    <row r="276" spans="1:11" x14ac:dyDescent="0.25">
      <c r="A276">
        <v>16</v>
      </c>
      <c r="B276">
        <v>2039</v>
      </c>
      <c r="C276" t="s">
        <v>60</v>
      </c>
      <c r="D276" t="s">
        <v>65</v>
      </c>
      <c r="E276">
        <v>85</v>
      </c>
      <c r="F276">
        <v>89</v>
      </c>
      <c r="G276">
        <v>2831297</v>
      </c>
      <c r="H276">
        <v>31350</v>
      </c>
      <c r="I276">
        <v>2932930</v>
      </c>
      <c r="J276">
        <v>204462</v>
      </c>
      <c r="K276">
        <v>6.9712540019707253E-2</v>
      </c>
    </row>
    <row r="277" spans="1:11" x14ac:dyDescent="0.25">
      <c r="A277">
        <v>16</v>
      </c>
      <c r="B277">
        <v>2039</v>
      </c>
      <c r="C277" t="s">
        <v>60</v>
      </c>
      <c r="D277" t="s">
        <v>66</v>
      </c>
      <c r="E277">
        <v>90</v>
      </c>
      <c r="G277">
        <v>5330070</v>
      </c>
      <c r="H277">
        <v>89480</v>
      </c>
      <c r="I277">
        <v>5428593</v>
      </c>
      <c r="J277">
        <v>603209</v>
      </c>
      <c r="K277">
        <v>0.11111700582452951</v>
      </c>
    </row>
    <row r="278" spans="1:11" x14ac:dyDescent="0.25">
      <c r="A278">
        <v>16</v>
      </c>
      <c r="B278">
        <v>2039</v>
      </c>
      <c r="C278" t="s">
        <v>67</v>
      </c>
      <c r="D278" t="s">
        <v>61</v>
      </c>
      <c r="E278">
        <v>65</v>
      </c>
      <c r="F278">
        <v>69</v>
      </c>
      <c r="G278">
        <v>128570</v>
      </c>
      <c r="H278">
        <v>552</v>
      </c>
      <c r="I278">
        <v>128929</v>
      </c>
      <c r="J278">
        <v>1235</v>
      </c>
      <c r="K278">
        <v>9.578915527150603E-3</v>
      </c>
    </row>
    <row r="279" spans="1:11" x14ac:dyDescent="0.25">
      <c r="A279">
        <v>16</v>
      </c>
      <c r="B279">
        <v>2039</v>
      </c>
      <c r="C279" t="s">
        <v>67</v>
      </c>
      <c r="D279" t="s">
        <v>62</v>
      </c>
      <c r="E279">
        <v>70</v>
      </c>
      <c r="F279">
        <v>74</v>
      </c>
      <c r="G279">
        <v>349103</v>
      </c>
      <c r="H279">
        <v>1875</v>
      </c>
      <c r="I279">
        <v>353436</v>
      </c>
      <c r="J279">
        <v>7503</v>
      </c>
      <c r="K279">
        <v>2.1228737310290971E-2</v>
      </c>
    </row>
    <row r="280" spans="1:11" x14ac:dyDescent="0.25">
      <c r="A280">
        <v>16</v>
      </c>
      <c r="B280">
        <v>2039</v>
      </c>
      <c r="C280" t="s">
        <v>67</v>
      </c>
      <c r="D280" t="s">
        <v>63</v>
      </c>
      <c r="E280">
        <v>75</v>
      </c>
      <c r="F280">
        <v>79</v>
      </c>
      <c r="G280">
        <v>652468</v>
      </c>
      <c r="H280">
        <v>4493</v>
      </c>
      <c r="I280">
        <v>664821</v>
      </c>
      <c r="J280">
        <v>20767</v>
      </c>
      <c r="K280">
        <v>3.123697957796159E-2</v>
      </c>
    </row>
    <row r="281" spans="1:11" x14ac:dyDescent="0.25">
      <c r="A281">
        <v>16</v>
      </c>
      <c r="B281">
        <v>2039</v>
      </c>
      <c r="C281" t="s">
        <v>67</v>
      </c>
      <c r="D281" t="s">
        <v>64</v>
      </c>
      <c r="E281">
        <v>80</v>
      </c>
      <c r="F281">
        <v>84</v>
      </c>
      <c r="G281">
        <v>1419458</v>
      </c>
      <c r="H281">
        <v>12552</v>
      </c>
      <c r="I281">
        <v>1469134</v>
      </c>
      <c r="J281">
        <v>78725</v>
      </c>
      <c r="K281">
        <v>5.3585990113903838E-2</v>
      </c>
    </row>
    <row r="282" spans="1:11" x14ac:dyDescent="0.25">
      <c r="A282">
        <v>16</v>
      </c>
      <c r="B282">
        <v>2039</v>
      </c>
      <c r="C282" t="s">
        <v>67</v>
      </c>
      <c r="D282" t="s">
        <v>65</v>
      </c>
      <c r="E282">
        <v>85</v>
      </c>
      <c r="F282">
        <v>89</v>
      </c>
      <c r="G282">
        <v>1523137</v>
      </c>
      <c r="H282">
        <v>16930</v>
      </c>
      <c r="I282">
        <v>1583353</v>
      </c>
      <c r="J282">
        <v>110311</v>
      </c>
      <c r="K282">
        <v>6.966923989786232E-2</v>
      </c>
    </row>
    <row r="283" spans="1:11" x14ac:dyDescent="0.25">
      <c r="A283">
        <v>16</v>
      </c>
      <c r="B283">
        <v>2039</v>
      </c>
      <c r="C283" t="s">
        <v>67</v>
      </c>
      <c r="D283" t="s">
        <v>66</v>
      </c>
      <c r="E283">
        <v>90</v>
      </c>
      <c r="G283">
        <v>3029914</v>
      </c>
      <c r="H283">
        <v>51756</v>
      </c>
      <c r="I283">
        <v>3109047</v>
      </c>
      <c r="J283">
        <v>354409</v>
      </c>
      <c r="K283">
        <v>0.1139928087288484</v>
      </c>
    </row>
    <row r="284" spans="1:11" x14ac:dyDescent="0.25">
      <c r="A284">
        <v>16</v>
      </c>
      <c r="B284">
        <v>2039</v>
      </c>
      <c r="C284" t="s">
        <v>68</v>
      </c>
      <c r="D284" t="s">
        <v>61</v>
      </c>
      <c r="E284">
        <v>65</v>
      </c>
      <c r="F284">
        <v>69</v>
      </c>
      <c r="G284">
        <v>109474</v>
      </c>
      <c r="H284">
        <v>471</v>
      </c>
      <c r="I284">
        <v>109704</v>
      </c>
      <c r="J284">
        <v>1112</v>
      </c>
      <c r="K284">
        <v>1.0136366951068331E-2</v>
      </c>
    </row>
    <row r="285" spans="1:11" x14ac:dyDescent="0.25">
      <c r="A285">
        <v>16</v>
      </c>
      <c r="B285">
        <v>2039</v>
      </c>
      <c r="C285" t="s">
        <v>68</v>
      </c>
      <c r="D285" t="s">
        <v>62</v>
      </c>
      <c r="E285">
        <v>70</v>
      </c>
      <c r="F285">
        <v>74</v>
      </c>
      <c r="G285">
        <v>293789</v>
      </c>
      <c r="H285">
        <v>1575</v>
      </c>
      <c r="I285">
        <v>297056</v>
      </c>
      <c r="J285">
        <v>6457</v>
      </c>
      <c r="K285">
        <v>2.173664224927286E-2</v>
      </c>
    </row>
    <row r="286" spans="1:11" x14ac:dyDescent="0.25">
      <c r="A286">
        <v>16</v>
      </c>
      <c r="B286">
        <v>2039</v>
      </c>
      <c r="C286" t="s">
        <v>68</v>
      </c>
      <c r="D286" t="s">
        <v>63</v>
      </c>
      <c r="E286">
        <v>75</v>
      </c>
      <c r="F286">
        <v>79</v>
      </c>
      <c r="G286">
        <v>550957</v>
      </c>
      <c r="H286">
        <v>3848</v>
      </c>
      <c r="I286">
        <v>559607</v>
      </c>
      <c r="J286">
        <v>17701</v>
      </c>
      <c r="K286">
        <v>3.1631126844374712E-2</v>
      </c>
    </row>
    <row r="287" spans="1:11" x14ac:dyDescent="0.25">
      <c r="A287">
        <v>16</v>
      </c>
      <c r="B287">
        <v>2039</v>
      </c>
      <c r="C287" t="s">
        <v>68</v>
      </c>
      <c r="D287" t="s">
        <v>64</v>
      </c>
      <c r="E287">
        <v>80</v>
      </c>
      <c r="F287">
        <v>84</v>
      </c>
      <c r="G287">
        <v>1236613</v>
      </c>
      <c r="H287">
        <v>10853</v>
      </c>
      <c r="I287">
        <v>1274523</v>
      </c>
      <c r="J287">
        <v>69035</v>
      </c>
      <c r="K287">
        <v>5.4165362257095402E-2</v>
      </c>
    </row>
    <row r="288" spans="1:11" x14ac:dyDescent="0.25">
      <c r="A288">
        <v>16</v>
      </c>
      <c r="B288">
        <v>2039</v>
      </c>
      <c r="C288" t="s">
        <v>68</v>
      </c>
      <c r="D288" t="s">
        <v>65</v>
      </c>
      <c r="E288">
        <v>85</v>
      </c>
      <c r="F288">
        <v>89</v>
      </c>
      <c r="G288">
        <v>1308160</v>
      </c>
      <c r="H288">
        <v>14420</v>
      </c>
      <c r="I288">
        <v>1349577</v>
      </c>
      <c r="J288">
        <v>94151</v>
      </c>
      <c r="K288">
        <v>6.9763340661555442E-2</v>
      </c>
    </row>
    <row r="289" spans="1:11" x14ac:dyDescent="0.25">
      <c r="A289">
        <v>16</v>
      </c>
      <c r="B289">
        <v>2039</v>
      </c>
      <c r="C289" t="s">
        <v>68</v>
      </c>
      <c r="D289" t="s">
        <v>66</v>
      </c>
      <c r="E289">
        <v>90</v>
      </c>
      <c r="G289">
        <v>2300156</v>
      </c>
      <c r="H289">
        <v>37724</v>
      </c>
      <c r="I289">
        <v>2319546</v>
      </c>
      <c r="J289">
        <v>248800</v>
      </c>
      <c r="K289">
        <v>0.1072623694464348</v>
      </c>
    </row>
    <row r="290" spans="1:11" x14ac:dyDescent="0.25">
      <c r="A290">
        <v>17</v>
      </c>
      <c r="B290">
        <v>2040</v>
      </c>
      <c r="C290" t="s">
        <v>60</v>
      </c>
      <c r="D290" t="s">
        <v>61</v>
      </c>
      <c r="E290">
        <v>65</v>
      </c>
      <c r="F290">
        <v>69</v>
      </c>
      <c r="G290">
        <v>233220</v>
      </c>
      <c r="H290">
        <v>957</v>
      </c>
      <c r="I290">
        <v>233802</v>
      </c>
      <c r="J290">
        <v>2247</v>
      </c>
      <c r="K290">
        <v>9.6106962301434548E-3</v>
      </c>
    </row>
    <row r="291" spans="1:11" x14ac:dyDescent="0.25">
      <c r="A291">
        <v>17</v>
      </c>
      <c r="B291">
        <v>2040</v>
      </c>
      <c r="C291" t="s">
        <v>60</v>
      </c>
      <c r="D291" t="s">
        <v>62</v>
      </c>
      <c r="E291">
        <v>70</v>
      </c>
      <c r="F291">
        <v>74</v>
      </c>
      <c r="G291">
        <v>635050</v>
      </c>
      <c r="H291">
        <v>3500</v>
      </c>
      <c r="I291">
        <v>642527</v>
      </c>
      <c r="J291">
        <v>13874</v>
      </c>
      <c r="K291">
        <v>2.1592866914542111E-2</v>
      </c>
    </row>
    <row r="292" spans="1:11" x14ac:dyDescent="0.25">
      <c r="A292">
        <v>17</v>
      </c>
      <c r="B292">
        <v>2040</v>
      </c>
      <c r="C292" t="s">
        <v>60</v>
      </c>
      <c r="D292" t="s">
        <v>63</v>
      </c>
      <c r="E292">
        <v>75</v>
      </c>
      <c r="F292">
        <v>79</v>
      </c>
      <c r="G292">
        <v>1215969</v>
      </c>
      <c r="H292">
        <v>8476</v>
      </c>
      <c r="I292">
        <v>1237670</v>
      </c>
      <c r="J292">
        <v>38906</v>
      </c>
      <c r="K292">
        <v>3.143487359312256E-2</v>
      </c>
    </row>
    <row r="293" spans="1:11" x14ac:dyDescent="0.25">
      <c r="A293">
        <v>17</v>
      </c>
      <c r="B293">
        <v>2040</v>
      </c>
      <c r="C293" t="s">
        <v>60</v>
      </c>
      <c r="D293" t="s">
        <v>64</v>
      </c>
      <c r="E293">
        <v>80</v>
      </c>
      <c r="F293">
        <v>84</v>
      </c>
      <c r="G293">
        <v>2432924</v>
      </c>
      <c r="H293">
        <v>21538</v>
      </c>
      <c r="I293">
        <v>2510470</v>
      </c>
      <c r="J293">
        <v>132707</v>
      </c>
      <c r="K293">
        <v>5.2861416388166362E-2</v>
      </c>
    </row>
    <row r="294" spans="1:11" x14ac:dyDescent="0.25">
      <c r="A294">
        <v>17</v>
      </c>
      <c r="B294">
        <v>2040</v>
      </c>
      <c r="C294" t="s">
        <v>60</v>
      </c>
      <c r="D294" t="s">
        <v>65</v>
      </c>
      <c r="E294">
        <v>85</v>
      </c>
      <c r="F294">
        <v>89</v>
      </c>
      <c r="G294">
        <v>2868216</v>
      </c>
      <c r="H294">
        <v>31567</v>
      </c>
      <c r="I294">
        <v>2972941</v>
      </c>
      <c r="J294">
        <v>207957</v>
      </c>
      <c r="K294">
        <v>6.9949925006920752E-2</v>
      </c>
    </row>
    <row r="295" spans="1:11" x14ac:dyDescent="0.25">
      <c r="A295">
        <v>17</v>
      </c>
      <c r="B295">
        <v>2040</v>
      </c>
      <c r="C295" t="s">
        <v>60</v>
      </c>
      <c r="D295" t="s">
        <v>66</v>
      </c>
      <c r="E295">
        <v>90</v>
      </c>
      <c r="G295">
        <v>5596888</v>
      </c>
      <c r="H295">
        <v>93553</v>
      </c>
      <c r="I295">
        <v>5708809</v>
      </c>
      <c r="J295">
        <v>637760</v>
      </c>
      <c r="K295">
        <v>0.11171507051645969</v>
      </c>
    </row>
    <row r="296" spans="1:11" x14ac:dyDescent="0.25">
      <c r="A296">
        <v>17</v>
      </c>
      <c r="B296">
        <v>2040</v>
      </c>
      <c r="C296" t="s">
        <v>67</v>
      </c>
      <c r="D296" t="s">
        <v>61</v>
      </c>
      <c r="E296">
        <v>65</v>
      </c>
      <c r="F296">
        <v>69</v>
      </c>
      <c r="G296">
        <v>125802</v>
      </c>
      <c r="H296">
        <v>504</v>
      </c>
      <c r="I296">
        <v>126166</v>
      </c>
      <c r="J296">
        <v>1169</v>
      </c>
      <c r="K296">
        <v>9.2655707559881426E-3</v>
      </c>
    </row>
    <row r="297" spans="1:11" x14ac:dyDescent="0.25">
      <c r="A297">
        <v>17</v>
      </c>
      <c r="B297">
        <v>2040</v>
      </c>
      <c r="C297" t="s">
        <v>67</v>
      </c>
      <c r="D297" t="s">
        <v>62</v>
      </c>
      <c r="E297">
        <v>70</v>
      </c>
      <c r="F297">
        <v>74</v>
      </c>
      <c r="G297">
        <v>344423</v>
      </c>
      <c r="H297">
        <v>1926</v>
      </c>
      <c r="I297">
        <v>348726</v>
      </c>
      <c r="J297">
        <v>7507</v>
      </c>
      <c r="K297">
        <v>2.1526929451775891E-2</v>
      </c>
    </row>
    <row r="298" spans="1:11" x14ac:dyDescent="0.25">
      <c r="A298">
        <v>17</v>
      </c>
      <c r="B298">
        <v>2040</v>
      </c>
      <c r="C298" t="s">
        <v>67</v>
      </c>
      <c r="D298" t="s">
        <v>63</v>
      </c>
      <c r="E298">
        <v>75</v>
      </c>
      <c r="F298">
        <v>79</v>
      </c>
      <c r="G298">
        <v>660034</v>
      </c>
      <c r="H298">
        <v>4607</v>
      </c>
      <c r="I298">
        <v>672488</v>
      </c>
      <c r="J298">
        <v>21073</v>
      </c>
      <c r="K298">
        <v>3.1335875138292432E-2</v>
      </c>
    </row>
    <row r="299" spans="1:11" x14ac:dyDescent="0.25">
      <c r="A299">
        <v>17</v>
      </c>
      <c r="B299">
        <v>2040</v>
      </c>
      <c r="C299" t="s">
        <v>67</v>
      </c>
      <c r="D299" t="s">
        <v>64</v>
      </c>
      <c r="E299">
        <v>80</v>
      </c>
      <c r="F299">
        <v>84</v>
      </c>
      <c r="G299">
        <v>1305798</v>
      </c>
      <c r="H299">
        <v>11714</v>
      </c>
      <c r="I299">
        <v>1350210</v>
      </c>
      <c r="J299">
        <v>71144</v>
      </c>
      <c r="K299">
        <v>5.2691062871701437E-2</v>
      </c>
    </row>
    <row r="300" spans="1:11" x14ac:dyDescent="0.25">
      <c r="A300">
        <v>17</v>
      </c>
      <c r="B300">
        <v>2040</v>
      </c>
      <c r="C300" t="s">
        <v>67</v>
      </c>
      <c r="D300" t="s">
        <v>65</v>
      </c>
      <c r="E300">
        <v>85</v>
      </c>
      <c r="F300">
        <v>89</v>
      </c>
      <c r="G300">
        <v>1544261</v>
      </c>
      <c r="H300">
        <v>16906</v>
      </c>
      <c r="I300">
        <v>1605915</v>
      </c>
      <c r="J300">
        <v>112016</v>
      </c>
      <c r="K300">
        <v>6.9752135075642235E-2</v>
      </c>
    </row>
    <row r="301" spans="1:11" x14ac:dyDescent="0.25">
      <c r="A301">
        <v>17</v>
      </c>
      <c r="B301">
        <v>2040</v>
      </c>
      <c r="C301" t="s">
        <v>67</v>
      </c>
      <c r="D301" t="s">
        <v>66</v>
      </c>
      <c r="E301">
        <v>90</v>
      </c>
      <c r="G301">
        <v>3173096</v>
      </c>
      <c r="H301">
        <v>54069</v>
      </c>
      <c r="I301">
        <v>3259038</v>
      </c>
      <c r="J301">
        <v>373170</v>
      </c>
      <c r="K301">
        <v>0.1145031141091328</v>
      </c>
    </row>
    <row r="302" spans="1:11" x14ac:dyDescent="0.25">
      <c r="A302">
        <v>17</v>
      </c>
      <c r="B302">
        <v>2040</v>
      </c>
      <c r="C302" t="s">
        <v>68</v>
      </c>
      <c r="D302" t="s">
        <v>61</v>
      </c>
      <c r="E302">
        <v>65</v>
      </c>
      <c r="F302">
        <v>69</v>
      </c>
      <c r="G302">
        <v>107418</v>
      </c>
      <c r="H302">
        <v>453</v>
      </c>
      <c r="I302">
        <v>107636</v>
      </c>
      <c r="J302">
        <v>1078</v>
      </c>
      <c r="K302">
        <v>1.001523653796128E-2</v>
      </c>
    </row>
    <row r="303" spans="1:11" x14ac:dyDescent="0.25">
      <c r="A303">
        <v>17</v>
      </c>
      <c r="B303">
        <v>2040</v>
      </c>
      <c r="C303" t="s">
        <v>68</v>
      </c>
      <c r="D303" t="s">
        <v>62</v>
      </c>
      <c r="E303">
        <v>70</v>
      </c>
      <c r="F303">
        <v>74</v>
      </c>
      <c r="G303">
        <v>290627</v>
      </c>
      <c r="H303">
        <v>1574</v>
      </c>
      <c r="I303">
        <v>293801</v>
      </c>
      <c r="J303">
        <v>6367</v>
      </c>
      <c r="K303">
        <v>2.1671131139785089E-2</v>
      </c>
    </row>
    <row r="304" spans="1:11" x14ac:dyDescent="0.25">
      <c r="A304">
        <v>17</v>
      </c>
      <c r="B304">
        <v>2040</v>
      </c>
      <c r="C304" t="s">
        <v>68</v>
      </c>
      <c r="D304" t="s">
        <v>63</v>
      </c>
      <c r="E304">
        <v>75</v>
      </c>
      <c r="F304">
        <v>79</v>
      </c>
      <c r="G304">
        <v>555935</v>
      </c>
      <c r="H304">
        <v>3869</v>
      </c>
      <c r="I304">
        <v>565182</v>
      </c>
      <c r="J304">
        <v>17833</v>
      </c>
      <c r="K304">
        <v>3.1552667990134148E-2</v>
      </c>
    </row>
    <row r="305" spans="1:11" x14ac:dyDescent="0.25">
      <c r="A305">
        <v>17</v>
      </c>
      <c r="B305">
        <v>2040</v>
      </c>
      <c r="C305" t="s">
        <v>68</v>
      </c>
      <c r="D305" t="s">
        <v>64</v>
      </c>
      <c r="E305">
        <v>80</v>
      </c>
      <c r="F305">
        <v>84</v>
      </c>
      <c r="G305">
        <v>1127126</v>
      </c>
      <c r="H305">
        <v>9824</v>
      </c>
      <c r="I305">
        <v>1160260</v>
      </c>
      <c r="J305">
        <v>61563</v>
      </c>
      <c r="K305">
        <v>5.3059659041938878E-2</v>
      </c>
    </row>
    <row r="306" spans="1:11" x14ac:dyDescent="0.25">
      <c r="A306">
        <v>17</v>
      </c>
      <c r="B306">
        <v>2040</v>
      </c>
      <c r="C306" t="s">
        <v>68</v>
      </c>
      <c r="D306" t="s">
        <v>65</v>
      </c>
      <c r="E306">
        <v>85</v>
      </c>
      <c r="F306">
        <v>89</v>
      </c>
      <c r="G306">
        <v>1323955</v>
      </c>
      <c r="H306">
        <v>14661</v>
      </c>
      <c r="I306">
        <v>1367026</v>
      </c>
      <c r="J306">
        <v>95941</v>
      </c>
      <c r="K306">
        <v>7.0182278903254222E-2</v>
      </c>
    </row>
    <row r="307" spans="1:11" x14ac:dyDescent="0.25">
      <c r="A307">
        <v>17</v>
      </c>
      <c r="B307">
        <v>2040</v>
      </c>
      <c r="C307" t="s">
        <v>68</v>
      </c>
      <c r="D307" t="s">
        <v>66</v>
      </c>
      <c r="E307">
        <v>90</v>
      </c>
      <c r="G307">
        <v>2423792</v>
      </c>
      <c r="H307">
        <v>39484</v>
      </c>
      <c r="I307">
        <v>2449771</v>
      </c>
      <c r="J307">
        <v>264590</v>
      </c>
      <c r="K307">
        <v>0.1080060136233142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7"/>
  <sheetViews>
    <sheetView workbookViewId="0">
      <selection activeCell="E13" sqref="E13"/>
    </sheetView>
  </sheetViews>
  <sheetFormatPr defaultRowHeight="15" x14ac:dyDescent="0.25"/>
  <cols>
    <col min="1" max="1" width="10" bestFit="1" customWidth="1"/>
    <col min="2" max="2" width="13.5703125" bestFit="1" customWidth="1"/>
    <col min="3" max="3" width="7.28515625" bestFit="1" customWidth="1"/>
    <col min="4" max="4" width="9.5703125" bestFit="1" customWidth="1"/>
    <col min="5" max="5" width="24.5703125" bestFit="1" customWidth="1"/>
    <col min="6" max="6" width="33.85546875" bestFit="1" customWidth="1"/>
    <col min="7" max="7" width="29.140625" bestFit="1" customWidth="1"/>
  </cols>
  <sheetData>
    <row r="1" spans="1:7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57</v>
      </c>
      <c r="F1" s="1" t="s">
        <v>58</v>
      </c>
      <c r="G1" s="1" t="s">
        <v>59</v>
      </c>
    </row>
    <row r="2" spans="1:7" x14ac:dyDescent="0.25">
      <c r="A2">
        <v>1</v>
      </c>
      <c r="B2">
        <v>2024</v>
      </c>
      <c r="C2" t="s">
        <v>60</v>
      </c>
      <c r="D2" t="s">
        <v>61</v>
      </c>
      <c r="E2">
        <v>1519649</v>
      </c>
      <c r="F2">
        <v>34415</v>
      </c>
      <c r="G2">
        <v>2.2646676962903931E-2</v>
      </c>
    </row>
    <row r="3" spans="1:7" x14ac:dyDescent="0.25">
      <c r="A3">
        <v>1</v>
      </c>
      <c r="B3">
        <v>2024</v>
      </c>
      <c r="C3" t="s">
        <v>60</v>
      </c>
      <c r="D3" t="s">
        <v>62</v>
      </c>
      <c r="E3">
        <v>1863766</v>
      </c>
      <c r="F3">
        <v>44714</v>
      </c>
      <c r="G3">
        <v>2.3991209196862699E-2</v>
      </c>
    </row>
    <row r="4" spans="1:7" x14ac:dyDescent="0.25">
      <c r="A4">
        <v>1</v>
      </c>
      <c r="B4">
        <v>2024</v>
      </c>
      <c r="C4" t="s">
        <v>60</v>
      </c>
      <c r="D4" t="s">
        <v>63</v>
      </c>
      <c r="E4">
        <v>1940004</v>
      </c>
      <c r="F4">
        <v>48101</v>
      </c>
      <c r="G4">
        <v>2.4794278774682939E-2</v>
      </c>
    </row>
    <row r="5" spans="1:7" x14ac:dyDescent="0.25">
      <c r="A5">
        <v>1</v>
      </c>
      <c r="B5">
        <v>2024</v>
      </c>
      <c r="C5" t="s">
        <v>60</v>
      </c>
      <c r="D5" t="s">
        <v>64</v>
      </c>
      <c r="E5">
        <v>1465954</v>
      </c>
      <c r="F5">
        <v>145102</v>
      </c>
      <c r="G5">
        <v>9.8981277720856173E-2</v>
      </c>
    </row>
    <row r="6" spans="1:7" x14ac:dyDescent="0.25">
      <c r="A6">
        <v>1</v>
      </c>
      <c r="B6">
        <v>2024</v>
      </c>
      <c r="C6" t="s">
        <v>60</v>
      </c>
      <c r="D6" t="s">
        <v>65</v>
      </c>
      <c r="E6">
        <v>1315040</v>
      </c>
      <c r="F6">
        <v>167884</v>
      </c>
      <c r="G6">
        <v>0.12766455773208421</v>
      </c>
    </row>
    <row r="7" spans="1:7" x14ac:dyDescent="0.25">
      <c r="A7">
        <v>1</v>
      </c>
      <c r="B7">
        <v>2024</v>
      </c>
      <c r="C7" t="s">
        <v>60</v>
      </c>
      <c r="D7" t="s">
        <v>66</v>
      </c>
      <c r="E7">
        <v>2895422</v>
      </c>
      <c r="F7">
        <v>389068</v>
      </c>
      <c r="G7">
        <v>0.13437350410406501</v>
      </c>
    </row>
    <row r="8" spans="1:7" x14ac:dyDescent="0.25">
      <c r="A8">
        <v>1</v>
      </c>
      <c r="B8">
        <v>2024</v>
      </c>
      <c r="C8" t="s">
        <v>67</v>
      </c>
      <c r="D8" t="s">
        <v>61</v>
      </c>
      <c r="E8">
        <v>775762</v>
      </c>
      <c r="F8">
        <v>18055</v>
      </c>
      <c r="G8">
        <v>2.3273890703592079E-2</v>
      </c>
    </row>
    <row r="9" spans="1:7" x14ac:dyDescent="0.25">
      <c r="A9">
        <v>1</v>
      </c>
      <c r="B9">
        <v>2024</v>
      </c>
      <c r="C9" t="s">
        <v>67</v>
      </c>
      <c r="D9" t="s">
        <v>62</v>
      </c>
      <c r="E9">
        <v>949183</v>
      </c>
      <c r="F9">
        <v>23414</v>
      </c>
      <c r="G9">
        <v>2.466752986515772E-2</v>
      </c>
    </row>
    <row r="10" spans="1:7" x14ac:dyDescent="0.25">
      <c r="A10">
        <v>1</v>
      </c>
      <c r="B10">
        <v>2024</v>
      </c>
      <c r="C10" t="s">
        <v>67</v>
      </c>
      <c r="D10" t="s">
        <v>63</v>
      </c>
      <c r="E10">
        <v>992773</v>
      </c>
      <c r="F10">
        <v>25290</v>
      </c>
      <c r="G10">
        <v>2.5474101330314181E-2</v>
      </c>
    </row>
    <row r="11" spans="1:7" x14ac:dyDescent="0.25">
      <c r="A11">
        <v>1</v>
      </c>
      <c r="B11">
        <v>2024</v>
      </c>
      <c r="C11" t="s">
        <v>67</v>
      </c>
      <c r="D11" t="s">
        <v>64</v>
      </c>
      <c r="E11">
        <v>814920</v>
      </c>
      <c r="F11">
        <v>92114</v>
      </c>
      <c r="G11">
        <v>0.1130344082854759</v>
      </c>
    </row>
    <row r="12" spans="1:7" x14ac:dyDescent="0.25">
      <c r="A12">
        <v>1</v>
      </c>
      <c r="B12">
        <v>2024</v>
      </c>
      <c r="C12" t="s">
        <v>67</v>
      </c>
      <c r="D12" t="s">
        <v>65</v>
      </c>
      <c r="E12">
        <v>752929</v>
      </c>
      <c r="F12">
        <v>108431</v>
      </c>
      <c r="G12">
        <v>0.1440122508231188</v>
      </c>
    </row>
    <row r="13" spans="1:7" x14ac:dyDescent="0.25">
      <c r="A13">
        <v>1</v>
      </c>
      <c r="B13">
        <v>2024</v>
      </c>
      <c r="C13" t="s">
        <v>67</v>
      </c>
      <c r="D13" t="s">
        <v>66</v>
      </c>
      <c r="E13">
        <v>1677552</v>
      </c>
      <c r="F13">
        <v>251606</v>
      </c>
      <c r="G13">
        <v>0.14998402434022909</v>
      </c>
    </row>
    <row r="14" spans="1:7" x14ac:dyDescent="0.25">
      <c r="A14">
        <v>1</v>
      </c>
      <c r="B14">
        <v>2024</v>
      </c>
      <c r="C14" t="s">
        <v>68</v>
      </c>
      <c r="D14" t="s">
        <v>61</v>
      </c>
      <c r="E14">
        <v>743887</v>
      </c>
      <c r="F14">
        <v>16360</v>
      </c>
      <c r="G14">
        <v>2.19925875838669E-2</v>
      </c>
    </row>
    <row r="15" spans="1:7" x14ac:dyDescent="0.25">
      <c r="A15">
        <v>1</v>
      </c>
      <c r="B15">
        <v>2024</v>
      </c>
      <c r="C15" t="s">
        <v>68</v>
      </c>
      <c r="D15" t="s">
        <v>62</v>
      </c>
      <c r="E15">
        <v>914583</v>
      </c>
      <c r="F15">
        <v>21300</v>
      </c>
      <c r="G15">
        <v>2.328930233778673E-2</v>
      </c>
    </row>
    <row r="16" spans="1:7" x14ac:dyDescent="0.25">
      <c r="A16">
        <v>1</v>
      </c>
      <c r="B16">
        <v>2024</v>
      </c>
      <c r="C16" t="s">
        <v>68</v>
      </c>
      <c r="D16" t="s">
        <v>63</v>
      </c>
      <c r="E16">
        <v>947231</v>
      </c>
      <c r="F16">
        <v>22811</v>
      </c>
      <c r="G16">
        <v>2.408177097244495E-2</v>
      </c>
    </row>
    <row r="17" spans="1:7" x14ac:dyDescent="0.25">
      <c r="A17">
        <v>1</v>
      </c>
      <c r="B17">
        <v>2024</v>
      </c>
      <c r="C17" t="s">
        <v>68</v>
      </c>
      <c r="D17" t="s">
        <v>64</v>
      </c>
      <c r="E17">
        <v>651034</v>
      </c>
      <c r="F17">
        <v>52988</v>
      </c>
      <c r="G17">
        <v>8.1390526454839532E-2</v>
      </c>
    </row>
    <row r="18" spans="1:7" x14ac:dyDescent="0.25">
      <c r="A18">
        <v>1</v>
      </c>
      <c r="B18">
        <v>2024</v>
      </c>
      <c r="C18" t="s">
        <v>68</v>
      </c>
      <c r="D18" t="s">
        <v>65</v>
      </c>
      <c r="E18">
        <v>562111</v>
      </c>
      <c r="F18">
        <v>59453</v>
      </c>
      <c r="G18">
        <v>0.1057673662319364</v>
      </c>
    </row>
    <row r="19" spans="1:7" x14ac:dyDescent="0.25">
      <c r="A19">
        <v>1</v>
      </c>
      <c r="B19">
        <v>2024</v>
      </c>
      <c r="C19" t="s">
        <v>68</v>
      </c>
      <c r="D19" t="s">
        <v>66</v>
      </c>
      <c r="E19">
        <v>1217870</v>
      </c>
      <c r="F19">
        <v>137462</v>
      </c>
      <c r="G19">
        <v>0.11287083186218561</v>
      </c>
    </row>
    <row r="20" spans="1:7" x14ac:dyDescent="0.25">
      <c r="A20">
        <v>2</v>
      </c>
      <c r="B20">
        <v>2025</v>
      </c>
      <c r="C20" t="s">
        <v>60</v>
      </c>
      <c r="D20" t="s">
        <v>61</v>
      </c>
      <c r="E20">
        <v>1223976</v>
      </c>
      <c r="F20">
        <v>29649</v>
      </c>
      <c r="G20">
        <v>2.4223514186552681E-2</v>
      </c>
    </row>
    <row r="21" spans="1:7" x14ac:dyDescent="0.25">
      <c r="A21">
        <v>2</v>
      </c>
      <c r="B21">
        <v>2025</v>
      </c>
      <c r="C21" t="s">
        <v>60</v>
      </c>
      <c r="D21" t="s">
        <v>62</v>
      </c>
      <c r="E21">
        <v>1924895</v>
      </c>
      <c r="F21">
        <v>52339</v>
      </c>
      <c r="G21">
        <v>2.71905740313108E-2</v>
      </c>
    </row>
    <row r="22" spans="1:7" x14ac:dyDescent="0.25">
      <c r="A22">
        <v>2</v>
      </c>
      <c r="B22">
        <v>2025</v>
      </c>
      <c r="C22" t="s">
        <v>60</v>
      </c>
      <c r="D22" t="s">
        <v>63</v>
      </c>
      <c r="E22">
        <v>2062879</v>
      </c>
      <c r="F22">
        <v>58902</v>
      </c>
      <c r="G22">
        <v>2.8553298569620422E-2</v>
      </c>
    </row>
    <row r="23" spans="1:7" x14ac:dyDescent="0.25">
      <c r="A23">
        <v>2</v>
      </c>
      <c r="B23">
        <v>2025</v>
      </c>
      <c r="C23" t="s">
        <v>60</v>
      </c>
      <c r="D23" t="s">
        <v>64</v>
      </c>
      <c r="E23">
        <v>1656612</v>
      </c>
      <c r="F23">
        <v>126118</v>
      </c>
      <c r="G23">
        <v>7.6130077531733439E-2</v>
      </c>
    </row>
    <row r="24" spans="1:7" x14ac:dyDescent="0.25">
      <c r="A24">
        <v>2</v>
      </c>
      <c r="B24">
        <v>2025</v>
      </c>
      <c r="C24" t="s">
        <v>60</v>
      </c>
      <c r="D24" t="s">
        <v>65</v>
      </c>
      <c r="E24">
        <v>1353560</v>
      </c>
      <c r="F24">
        <v>167806</v>
      </c>
      <c r="G24">
        <v>0.1239738171931795</v>
      </c>
    </row>
    <row r="25" spans="1:7" x14ac:dyDescent="0.25">
      <c r="A25">
        <v>2</v>
      </c>
      <c r="B25">
        <v>2025</v>
      </c>
      <c r="C25" t="s">
        <v>60</v>
      </c>
      <c r="D25" t="s">
        <v>66</v>
      </c>
      <c r="E25">
        <v>2971783</v>
      </c>
      <c r="F25">
        <v>405208</v>
      </c>
      <c r="G25">
        <v>0.13635181303614699</v>
      </c>
    </row>
    <row r="26" spans="1:7" x14ac:dyDescent="0.25">
      <c r="A26">
        <v>2</v>
      </c>
      <c r="B26">
        <v>2025</v>
      </c>
      <c r="C26" t="s">
        <v>67</v>
      </c>
      <c r="D26" t="s">
        <v>61</v>
      </c>
      <c r="E26">
        <v>627739</v>
      </c>
      <c r="F26">
        <v>15547</v>
      </c>
      <c r="G26">
        <v>2.4766662577918531E-2</v>
      </c>
    </row>
    <row r="27" spans="1:7" x14ac:dyDescent="0.25">
      <c r="A27">
        <v>2</v>
      </c>
      <c r="B27">
        <v>2025</v>
      </c>
      <c r="C27" t="s">
        <v>67</v>
      </c>
      <c r="D27" t="s">
        <v>62</v>
      </c>
      <c r="E27">
        <v>984493</v>
      </c>
      <c r="F27">
        <v>27268</v>
      </c>
      <c r="G27">
        <v>2.7697505213343319E-2</v>
      </c>
    </row>
    <row r="28" spans="1:7" x14ac:dyDescent="0.25">
      <c r="A28">
        <v>2</v>
      </c>
      <c r="B28">
        <v>2025</v>
      </c>
      <c r="C28" t="s">
        <v>67</v>
      </c>
      <c r="D28" t="s">
        <v>63</v>
      </c>
      <c r="E28">
        <v>1061264</v>
      </c>
      <c r="F28">
        <v>30868</v>
      </c>
      <c r="G28">
        <v>2.90860709493585E-2</v>
      </c>
    </row>
    <row r="29" spans="1:7" x14ac:dyDescent="0.25">
      <c r="A29">
        <v>2</v>
      </c>
      <c r="B29">
        <v>2025</v>
      </c>
      <c r="C29" t="s">
        <v>67</v>
      </c>
      <c r="D29" t="s">
        <v>64</v>
      </c>
      <c r="E29">
        <v>900365</v>
      </c>
      <c r="F29">
        <v>77722</v>
      </c>
      <c r="G29">
        <v>8.6322769099198657E-2</v>
      </c>
    </row>
    <row r="30" spans="1:7" x14ac:dyDescent="0.25">
      <c r="A30">
        <v>2</v>
      </c>
      <c r="B30">
        <v>2025</v>
      </c>
      <c r="C30" t="s">
        <v>67</v>
      </c>
      <c r="D30" t="s">
        <v>65</v>
      </c>
      <c r="E30">
        <v>774327</v>
      </c>
      <c r="F30">
        <v>107225</v>
      </c>
      <c r="G30">
        <v>0.13847508868992039</v>
      </c>
    </row>
    <row r="31" spans="1:7" x14ac:dyDescent="0.25">
      <c r="A31">
        <v>2</v>
      </c>
      <c r="B31">
        <v>2025</v>
      </c>
      <c r="C31" t="s">
        <v>67</v>
      </c>
      <c r="D31" t="s">
        <v>66</v>
      </c>
      <c r="E31">
        <v>1725129</v>
      </c>
      <c r="F31">
        <v>259640</v>
      </c>
      <c r="G31">
        <v>0.15050468689587851</v>
      </c>
    </row>
    <row r="32" spans="1:7" x14ac:dyDescent="0.25">
      <c r="A32">
        <v>2</v>
      </c>
      <c r="B32">
        <v>2025</v>
      </c>
      <c r="C32" t="s">
        <v>68</v>
      </c>
      <c r="D32" t="s">
        <v>61</v>
      </c>
      <c r="E32">
        <v>596237</v>
      </c>
      <c r="F32">
        <v>14102</v>
      </c>
      <c r="G32">
        <v>2.3651668715628179E-2</v>
      </c>
    </row>
    <row r="33" spans="1:7" x14ac:dyDescent="0.25">
      <c r="A33">
        <v>2</v>
      </c>
      <c r="B33">
        <v>2025</v>
      </c>
      <c r="C33" t="s">
        <v>68</v>
      </c>
      <c r="D33" t="s">
        <v>62</v>
      </c>
      <c r="E33">
        <v>940402</v>
      </c>
      <c r="F33">
        <v>25071</v>
      </c>
      <c r="G33">
        <v>2.6659875244842101E-2</v>
      </c>
    </row>
    <row r="34" spans="1:7" x14ac:dyDescent="0.25">
      <c r="A34">
        <v>2</v>
      </c>
      <c r="B34">
        <v>2025</v>
      </c>
      <c r="C34" t="s">
        <v>68</v>
      </c>
      <c r="D34" t="s">
        <v>63</v>
      </c>
      <c r="E34">
        <v>1001615</v>
      </c>
      <c r="F34">
        <v>28034</v>
      </c>
      <c r="G34">
        <v>2.79887980910829E-2</v>
      </c>
    </row>
    <row r="35" spans="1:7" x14ac:dyDescent="0.25">
      <c r="A35">
        <v>2</v>
      </c>
      <c r="B35">
        <v>2025</v>
      </c>
      <c r="C35" t="s">
        <v>68</v>
      </c>
      <c r="D35" t="s">
        <v>64</v>
      </c>
      <c r="E35">
        <v>756247</v>
      </c>
      <c r="F35">
        <v>48396</v>
      </c>
      <c r="G35">
        <v>6.3994964608124066E-2</v>
      </c>
    </row>
    <row r="36" spans="1:7" x14ac:dyDescent="0.25">
      <c r="A36">
        <v>2</v>
      </c>
      <c r="B36">
        <v>2025</v>
      </c>
      <c r="C36" t="s">
        <v>68</v>
      </c>
      <c r="D36" t="s">
        <v>65</v>
      </c>
      <c r="E36">
        <v>579233</v>
      </c>
      <c r="F36">
        <v>60581</v>
      </c>
      <c r="G36">
        <v>0.1045883090224487</v>
      </c>
    </row>
    <row r="37" spans="1:7" x14ac:dyDescent="0.25">
      <c r="A37">
        <v>2</v>
      </c>
      <c r="B37">
        <v>2025</v>
      </c>
      <c r="C37" t="s">
        <v>68</v>
      </c>
      <c r="D37" t="s">
        <v>66</v>
      </c>
      <c r="E37">
        <v>1246654</v>
      </c>
      <c r="F37">
        <v>145568</v>
      </c>
      <c r="G37">
        <v>0.1167669618033552</v>
      </c>
    </row>
    <row r="38" spans="1:7" x14ac:dyDescent="0.25">
      <c r="A38">
        <v>3</v>
      </c>
      <c r="B38">
        <v>2026</v>
      </c>
      <c r="C38" t="s">
        <v>60</v>
      </c>
      <c r="D38" t="s">
        <v>61</v>
      </c>
      <c r="E38">
        <v>915168</v>
      </c>
      <c r="F38">
        <v>22507</v>
      </c>
      <c r="G38">
        <v>2.4593298716738349E-2</v>
      </c>
    </row>
    <row r="39" spans="1:7" x14ac:dyDescent="0.25">
      <c r="A39">
        <v>3</v>
      </c>
      <c r="B39">
        <v>2026</v>
      </c>
      <c r="C39" t="s">
        <v>60</v>
      </c>
      <c r="D39" t="s">
        <v>62</v>
      </c>
      <c r="E39">
        <v>1990129</v>
      </c>
      <c r="F39">
        <v>58922</v>
      </c>
      <c r="G39">
        <v>2.960712597022605E-2</v>
      </c>
    </row>
    <row r="40" spans="1:7" x14ac:dyDescent="0.25">
      <c r="A40">
        <v>3</v>
      </c>
      <c r="B40">
        <v>2026</v>
      </c>
      <c r="C40" t="s">
        <v>60</v>
      </c>
      <c r="D40" t="s">
        <v>63</v>
      </c>
      <c r="E40">
        <v>2164004</v>
      </c>
      <c r="F40">
        <v>68678</v>
      </c>
      <c r="G40">
        <v>3.17365402282066E-2</v>
      </c>
    </row>
    <row r="41" spans="1:7" x14ac:dyDescent="0.25">
      <c r="A41">
        <v>3</v>
      </c>
      <c r="B41">
        <v>2026</v>
      </c>
      <c r="C41" t="s">
        <v>60</v>
      </c>
      <c r="D41" t="s">
        <v>64</v>
      </c>
      <c r="E41">
        <v>1858465</v>
      </c>
      <c r="F41">
        <v>111519</v>
      </c>
      <c r="G41">
        <v>6.0005972670994612E-2</v>
      </c>
    </row>
    <row r="42" spans="1:7" x14ac:dyDescent="0.25">
      <c r="A42">
        <v>3</v>
      </c>
      <c r="B42">
        <v>2026</v>
      </c>
      <c r="C42" t="s">
        <v>60</v>
      </c>
      <c r="D42" t="s">
        <v>65</v>
      </c>
      <c r="E42">
        <v>1399612</v>
      </c>
      <c r="F42">
        <v>164880</v>
      </c>
      <c r="G42">
        <v>0.11780407712994739</v>
      </c>
    </row>
    <row r="43" spans="1:7" x14ac:dyDescent="0.25">
      <c r="A43">
        <v>3</v>
      </c>
      <c r="B43">
        <v>2026</v>
      </c>
      <c r="C43" t="s">
        <v>60</v>
      </c>
      <c r="D43" t="s">
        <v>66</v>
      </c>
      <c r="E43">
        <v>3039355</v>
      </c>
      <c r="F43">
        <v>413008</v>
      </c>
      <c r="G43">
        <v>0.13588672596652909</v>
      </c>
    </row>
    <row r="44" spans="1:7" x14ac:dyDescent="0.25">
      <c r="A44">
        <v>3</v>
      </c>
      <c r="B44">
        <v>2026</v>
      </c>
      <c r="C44" t="s">
        <v>67</v>
      </c>
      <c r="D44" t="s">
        <v>61</v>
      </c>
      <c r="E44">
        <v>472551</v>
      </c>
      <c r="F44">
        <v>11717</v>
      </c>
      <c r="G44">
        <v>2.4795207289795181E-2</v>
      </c>
    </row>
    <row r="45" spans="1:7" x14ac:dyDescent="0.25">
      <c r="A45">
        <v>3</v>
      </c>
      <c r="B45">
        <v>2026</v>
      </c>
      <c r="C45" t="s">
        <v>67</v>
      </c>
      <c r="D45" t="s">
        <v>62</v>
      </c>
      <c r="E45">
        <v>1021748</v>
      </c>
      <c r="F45">
        <v>30833</v>
      </c>
      <c r="G45">
        <v>3.017671676382043E-2</v>
      </c>
    </row>
    <row r="46" spans="1:7" x14ac:dyDescent="0.25">
      <c r="A46">
        <v>3</v>
      </c>
      <c r="B46">
        <v>2026</v>
      </c>
      <c r="C46" t="s">
        <v>67</v>
      </c>
      <c r="D46" t="s">
        <v>63</v>
      </c>
      <c r="E46">
        <v>1117755</v>
      </c>
      <c r="F46">
        <v>35744</v>
      </c>
      <c r="G46">
        <v>3.1978385245424977E-2</v>
      </c>
    </row>
    <row r="47" spans="1:7" x14ac:dyDescent="0.25">
      <c r="A47">
        <v>3</v>
      </c>
      <c r="B47">
        <v>2026</v>
      </c>
      <c r="C47" t="s">
        <v>67</v>
      </c>
      <c r="D47" t="s">
        <v>64</v>
      </c>
      <c r="E47">
        <v>992486</v>
      </c>
      <c r="F47">
        <v>65756</v>
      </c>
      <c r="G47">
        <v>6.6253831288300286E-2</v>
      </c>
    </row>
    <row r="48" spans="1:7" x14ac:dyDescent="0.25">
      <c r="A48">
        <v>3</v>
      </c>
      <c r="B48">
        <v>2026</v>
      </c>
      <c r="C48" t="s">
        <v>67</v>
      </c>
      <c r="D48" t="s">
        <v>65</v>
      </c>
      <c r="E48">
        <v>799225</v>
      </c>
      <c r="F48">
        <v>104661</v>
      </c>
      <c r="G48">
        <v>0.1309531108261128</v>
      </c>
    </row>
    <row r="49" spans="1:7" x14ac:dyDescent="0.25">
      <c r="A49">
        <v>3</v>
      </c>
      <c r="B49">
        <v>2026</v>
      </c>
      <c r="C49" t="s">
        <v>67</v>
      </c>
      <c r="D49" t="s">
        <v>66</v>
      </c>
      <c r="E49">
        <v>1766142</v>
      </c>
      <c r="F49">
        <v>262153</v>
      </c>
      <c r="G49">
        <v>0.14843257223937831</v>
      </c>
    </row>
    <row r="50" spans="1:7" x14ac:dyDescent="0.25">
      <c r="A50">
        <v>3</v>
      </c>
      <c r="B50">
        <v>2026</v>
      </c>
      <c r="C50" t="s">
        <v>68</v>
      </c>
      <c r="D50" t="s">
        <v>61</v>
      </c>
      <c r="E50">
        <v>442617</v>
      </c>
      <c r="F50">
        <v>10790</v>
      </c>
      <c r="G50">
        <v>2.437773515251335E-2</v>
      </c>
    </row>
    <row r="51" spans="1:7" x14ac:dyDescent="0.25">
      <c r="A51">
        <v>3</v>
      </c>
      <c r="B51">
        <v>2026</v>
      </c>
      <c r="C51" t="s">
        <v>68</v>
      </c>
      <c r="D51" t="s">
        <v>62</v>
      </c>
      <c r="E51">
        <v>968381</v>
      </c>
      <c r="F51">
        <v>28089</v>
      </c>
      <c r="G51">
        <v>2.900614530850977E-2</v>
      </c>
    </row>
    <row r="52" spans="1:7" x14ac:dyDescent="0.25">
      <c r="A52">
        <v>3</v>
      </c>
      <c r="B52">
        <v>2026</v>
      </c>
      <c r="C52" t="s">
        <v>68</v>
      </c>
      <c r="D52" t="s">
        <v>63</v>
      </c>
      <c r="E52">
        <v>1046249</v>
      </c>
      <c r="F52">
        <v>32934</v>
      </c>
      <c r="G52">
        <v>3.1478166287375188E-2</v>
      </c>
    </row>
    <row r="53" spans="1:7" x14ac:dyDescent="0.25">
      <c r="A53">
        <v>3</v>
      </c>
      <c r="B53">
        <v>2026</v>
      </c>
      <c r="C53" t="s">
        <v>68</v>
      </c>
      <c r="D53" t="s">
        <v>64</v>
      </c>
      <c r="E53">
        <v>865979</v>
      </c>
      <c r="F53">
        <v>45763</v>
      </c>
      <c r="G53">
        <v>5.2845392324756137E-2</v>
      </c>
    </row>
    <row r="54" spans="1:7" x14ac:dyDescent="0.25">
      <c r="A54">
        <v>3</v>
      </c>
      <c r="B54">
        <v>2026</v>
      </c>
      <c r="C54" t="s">
        <v>68</v>
      </c>
      <c r="D54" t="s">
        <v>65</v>
      </c>
      <c r="E54">
        <v>600387</v>
      </c>
      <c r="F54">
        <v>60219</v>
      </c>
      <c r="G54">
        <v>0.1003003063024349</v>
      </c>
    </row>
    <row r="55" spans="1:7" x14ac:dyDescent="0.25">
      <c r="A55">
        <v>3</v>
      </c>
      <c r="B55">
        <v>2026</v>
      </c>
      <c r="C55" t="s">
        <v>68</v>
      </c>
      <c r="D55" t="s">
        <v>66</v>
      </c>
      <c r="E55">
        <v>1273213</v>
      </c>
      <c r="F55">
        <v>150855</v>
      </c>
      <c r="G55">
        <v>0.1184837101097774</v>
      </c>
    </row>
    <row r="56" spans="1:7" x14ac:dyDescent="0.25">
      <c r="A56">
        <v>4</v>
      </c>
      <c r="B56">
        <v>2027</v>
      </c>
      <c r="C56" t="s">
        <v>60</v>
      </c>
      <c r="D56" t="s">
        <v>61</v>
      </c>
      <c r="E56">
        <v>593285</v>
      </c>
      <c r="F56">
        <v>13339</v>
      </c>
      <c r="G56">
        <v>2.2483292178295419E-2</v>
      </c>
    </row>
    <row r="57" spans="1:7" x14ac:dyDescent="0.25">
      <c r="A57">
        <v>4</v>
      </c>
      <c r="B57">
        <v>2027</v>
      </c>
      <c r="C57" t="s">
        <v>60</v>
      </c>
      <c r="D57" t="s">
        <v>62</v>
      </c>
      <c r="E57">
        <v>2060488</v>
      </c>
      <c r="F57">
        <v>64571</v>
      </c>
      <c r="G57">
        <v>3.1337721937715723E-2</v>
      </c>
    </row>
    <row r="58" spans="1:7" x14ac:dyDescent="0.25">
      <c r="A58">
        <v>4</v>
      </c>
      <c r="B58">
        <v>2027</v>
      </c>
      <c r="C58" t="s">
        <v>60</v>
      </c>
      <c r="D58" t="s">
        <v>63</v>
      </c>
      <c r="E58">
        <v>2243269</v>
      </c>
      <c r="F58">
        <v>77506</v>
      </c>
      <c r="G58">
        <v>3.4550470763871827E-2</v>
      </c>
    </row>
    <row r="59" spans="1:7" x14ac:dyDescent="0.25">
      <c r="A59">
        <v>4</v>
      </c>
      <c r="B59">
        <v>2027</v>
      </c>
      <c r="C59" t="s">
        <v>60</v>
      </c>
      <c r="D59" t="s">
        <v>64</v>
      </c>
      <c r="E59">
        <v>2072474</v>
      </c>
      <c r="F59">
        <v>103015</v>
      </c>
      <c r="G59">
        <v>4.9706293058441257E-2</v>
      </c>
    </row>
    <row r="60" spans="1:7" x14ac:dyDescent="0.25">
      <c r="A60">
        <v>4</v>
      </c>
      <c r="B60">
        <v>2027</v>
      </c>
      <c r="C60" t="s">
        <v>60</v>
      </c>
      <c r="D60" t="s">
        <v>65</v>
      </c>
      <c r="E60">
        <v>1452159</v>
      </c>
      <c r="F60">
        <v>160627</v>
      </c>
      <c r="G60">
        <v>0.11061254311683499</v>
      </c>
    </row>
    <row r="61" spans="1:7" x14ac:dyDescent="0.25">
      <c r="A61">
        <v>4</v>
      </c>
      <c r="B61">
        <v>2027</v>
      </c>
      <c r="C61" t="s">
        <v>60</v>
      </c>
      <c r="D61" t="s">
        <v>66</v>
      </c>
      <c r="E61">
        <v>3103325</v>
      </c>
      <c r="F61">
        <v>415196</v>
      </c>
      <c r="G61">
        <v>0.13379069224138629</v>
      </c>
    </row>
    <row r="62" spans="1:7" x14ac:dyDescent="0.25">
      <c r="A62">
        <v>4</v>
      </c>
      <c r="B62">
        <v>2027</v>
      </c>
      <c r="C62" t="s">
        <v>67</v>
      </c>
      <c r="D62" t="s">
        <v>61</v>
      </c>
      <c r="E62">
        <v>309895</v>
      </c>
      <c r="F62">
        <v>6975</v>
      </c>
      <c r="G62">
        <v>2.2507623549912072E-2</v>
      </c>
    </row>
    <row r="63" spans="1:7" x14ac:dyDescent="0.25">
      <c r="A63">
        <v>4</v>
      </c>
      <c r="B63">
        <v>2027</v>
      </c>
      <c r="C63" t="s">
        <v>67</v>
      </c>
      <c r="D63" t="s">
        <v>62</v>
      </c>
      <c r="E63">
        <v>1061500</v>
      </c>
      <c r="F63">
        <v>33682</v>
      </c>
      <c r="G63">
        <v>3.1730569948186529E-2</v>
      </c>
    </row>
    <row r="64" spans="1:7" x14ac:dyDescent="0.25">
      <c r="A64">
        <v>4</v>
      </c>
      <c r="B64">
        <v>2027</v>
      </c>
      <c r="C64" t="s">
        <v>67</v>
      </c>
      <c r="D64" t="s">
        <v>63</v>
      </c>
      <c r="E64">
        <v>1161950</v>
      </c>
      <c r="F64">
        <v>40292</v>
      </c>
      <c r="G64">
        <v>3.4676190886010587E-2</v>
      </c>
    </row>
    <row r="65" spans="1:7" x14ac:dyDescent="0.25">
      <c r="A65">
        <v>4</v>
      </c>
      <c r="B65">
        <v>2027</v>
      </c>
      <c r="C65" t="s">
        <v>67</v>
      </c>
      <c r="D65" t="s">
        <v>64</v>
      </c>
      <c r="E65">
        <v>1092889</v>
      </c>
      <c r="F65">
        <v>57304</v>
      </c>
      <c r="G65">
        <v>5.2433504225955253E-2</v>
      </c>
    </row>
    <row r="66" spans="1:7" x14ac:dyDescent="0.25">
      <c r="A66">
        <v>4</v>
      </c>
      <c r="B66">
        <v>2027</v>
      </c>
      <c r="C66" t="s">
        <v>67</v>
      </c>
      <c r="D66" t="s">
        <v>65</v>
      </c>
      <c r="E66">
        <v>828152</v>
      </c>
      <c r="F66">
        <v>100953</v>
      </c>
      <c r="G66">
        <v>0.121901534983916</v>
      </c>
    </row>
    <row r="67" spans="1:7" x14ac:dyDescent="0.25">
      <c r="A67">
        <v>4</v>
      </c>
      <c r="B67">
        <v>2027</v>
      </c>
      <c r="C67" t="s">
        <v>67</v>
      </c>
      <c r="D67" t="s">
        <v>66</v>
      </c>
      <c r="E67">
        <v>1804173</v>
      </c>
      <c r="F67">
        <v>261000</v>
      </c>
      <c r="G67">
        <v>0.1446646191911751</v>
      </c>
    </row>
    <row r="68" spans="1:7" x14ac:dyDescent="0.25">
      <c r="A68">
        <v>4</v>
      </c>
      <c r="B68">
        <v>2027</v>
      </c>
      <c r="C68" t="s">
        <v>68</v>
      </c>
      <c r="D68" t="s">
        <v>61</v>
      </c>
      <c r="E68">
        <v>283390</v>
      </c>
      <c r="F68">
        <v>6364</v>
      </c>
      <c r="G68">
        <v>2.245668513356152E-2</v>
      </c>
    </row>
    <row r="69" spans="1:7" x14ac:dyDescent="0.25">
      <c r="A69">
        <v>4</v>
      </c>
      <c r="B69">
        <v>2027</v>
      </c>
      <c r="C69" t="s">
        <v>68</v>
      </c>
      <c r="D69" t="s">
        <v>62</v>
      </c>
      <c r="E69">
        <v>998988</v>
      </c>
      <c r="F69">
        <v>30889</v>
      </c>
      <c r="G69">
        <v>3.092029133483085E-2</v>
      </c>
    </row>
    <row r="70" spans="1:7" x14ac:dyDescent="0.25">
      <c r="A70">
        <v>4</v>
      </c>
      <c r="B70">
        <v>2027</v>
      </c>
      <c r="C70" t="s">
        <v>68</v>
      </c>
      <c r="D70" t="s">
        <v>63</v>
      </c>
      <c r="E70">
        <v>1081319</v>
      </c>
      <c r="F70">
        <v>37214</v>
      </c>
      <c r="G70">
        <v>3.4415376036118848E-2</v>
      </c>
    </row>
    <row r="71" spans="1:7" x14ac:dyDescent="0.25">
      <c r="A71">
        <v>4</v>
      </c>
      <c r="B71">
        <v>2027</v>
      </c>
      <c r="C71" t="s">
        <v>68</v>
      </c>
      <c r="D71" t="s">
        <v>64</v>
      </c>
      <c r="E71">
        <v>979585</v>
      </c>
      <c r="F71">
        <v>45711</v>
      </c>
      <c r="G71">
        <v>4.6663638173308077E-2</v>
      </c>
    </row>
    <row r="72" spans="1:7" x14ac:dyDescent="0.25">
      <c r="A72">
        <v>4</v>
      </c>
      <c r="B72">
        <v>2027</v>
      </c>
      <c r="C72" t="s">
        <v>68</v>
      </c>
      <c r="D72" t="s">
        <v>65</v>
      </c>
      <c r="E72">
        <v>624007</v>
      </c>
      <c r="F72">
        <v>59674</v>
      </c>
      <c r="G72">
        <v>9.5630337480188524E-2</v>
      </c>
    </row>
    <row r="73" spans="1:7" x14ac:dyDescent="0.25">
      <c r="A73">
        <v>4</v>
      </c>
      <c r="B73">
        <v>2027</v>
      </c>
      <c r="C73" t="s">
        <v>68</v>
      </c>
      <c r="D73" t="s">
        <v>66</v>
      </c>
      <c r="E73">
        <v>1299152</v>
      </c>
      <c r="F73">
        <v>154196</v>
      </c>
      <c r="G73">
        <v>0.1186897299161299</v>
      </c>
    </row>
    <row r="74" spans="1:7" x14ac:dyDescent="0.25">
      <c r="A74">
        <v>5</v>
      </c>
      <c r="B74">
        <v>2028</v>
      </c>
      <c r="C74" t="s">
        <v>60</v>
      </c>
      <c r="D74" t="s">
        <v>61</v>
      </c>
      <c r="E74">
        <v>260814</v>
      </c>
      <c r="F74">
        <v>2505</v>
      </c>
      <c r="G74">
        <v>9.6045457682486374E-3</v>
      </c>
    </row>
    <row r="75" spans="1:7" x14ac:dyDescent="0.25">
      <c r="A75">
        <v>5</v>
      </c>
      <c r="B75">
        <v>2028</v>
      </c>
      <c r="C75" t="s">
        <v>60</v>
      </c>
      <c r="D75" t="s">
        <v>62</v>
      </c>
      <c r="E75">
        <v>2130016</v>
      </c>
      <c r="F75">
        <v>69594</v>
      </c>
      <c r="G75">
        <v>3.2672994005678829E-2</v>
      </c>
    </row>
    <row r="76" spans="1:7" x14ac:dyDescent="0.25">
      <c r="A76">
        <v>5</v>
      </c>
      <c r="B76">
        <v>2028</v>
      </c>
      <c r="C76" t="s">
        <v>60</v>
      </c>
      <c r="D76" t="s">
        <v>63</v>
      </c>
      <c r="E76">
        <v>2303273</v>
      </c>
      <c r="F76">
        <v>84600</v>
      </c>
      <c r="G76">
        <v>3.6730339825109752E-2</v>
      </c>
    </row>
    <row r="77" spans="1:7" x14ac:dyDescent="0.25">
      <c r="A77">
        <v>5</v>
      </c>
      <c r="B77">
        <v>2028</v>
      </c>
      <c r="C77" t="s">
        <v>60</v>
      </c>
      <c r="D77" t="s">
        <v>64</v>
      </c>
      <c r="E77">
        <v>2298065</v>
      </c>
      <c r="F77">
        <v>101352</v>
      </c>
      <c r="G77">
        <v>4.4103191163000183E-2</v>
      </c>
    </row>
    <row r="78" spans="1:7" x14ac:dyDescent="0.25">
      <c r="A78">
        <v>5</v>
      </c>
      <c r="B78">
        <v>2028</v>
      </c>
      <c r="C78" t="s">
        <v>60</v>
      </c>
      <c r="D78" t="s">
        <v>65</v>
      </c>
      <c r="E78">
        <v>1513399</v>
      </c>
      <c r="F78">
        <v>156578</v>
      </c>
      <c r="G78">
        <v>0.1034611493730338</v>
      </c>
    </row>
    <row r="79" spans="1:7" x14ac:dyDescent="0.25">
      <c r="A79">
        <v>5</v>
      </c>
      <c r="B79">
        <v>2028</v>
      </c>
      <c r="C79" t="s">
        <v>60</v>
      </c>
      <c r="D79" t="s">
        <v>66</v>
      </c>
      <c r="E79">
        <v>3169960</v>
      </c>
      <c r="F79">
        <v>414831</v>
      </c>
      <c r="G79">
        <v>0.13086316546581031</v>
      </c>
    </row>
    <row r="80" spans="1:7" x14ac:dyDescent="0.25">
      <c r="A80">
        <v>5</v>
      </c>
      <c r="B80">
        <v>2028</v>
      </c>
      <c r="C80" t="s">
        <v>67</v>
      </c>
      <c r="D80" t="s">
        <v>61</v>
      </c>
      <c r="E80">
        <v>140627</v>
      </c>
      <c r="F80">
        <v>1342</v>
      </c>
      <c r="G80">
        <v>9.542975388794471E-3</v>
      </c>
    </row>
    <row r="81" spans="1:7" x14ac:dyDescent="0.25">
      <c r="A81">
        <v>5</v>
      </c>
      <c r="B81">
        <v>2028</v>
      </c>
      <c r="C81" t="s">
        <v>67</v>
      </c>
      <c r="D81" t="s">
        <v>62</v>
      </c>
      <c r="E81">
        <v>1100827</v>
      </c>
      <c r="F81">
        <v>36087</v>
      </c>
      <c r="G81">
        <v>3.2781717744931757E-2</v>
      </c>
    </row>
    <row r="82" spans="1:7" x14ac:dyDescent="0.25">
      <c r="A82">
        <v>5</v>
      </c>
      <c r="B82">
        <v>2028</v>
      </c>
      <c r="C82" t="s">
        <v>67</v>
      </c>
      <c r="D82" t="s">
        <v>63</v>
      </c>
      <c r="E82">
        <v>1196308</v>
      </c>
      <c r="F82">
        <v>44097</v>
      </c>
      <c r="G82">
        <v>3.6860908729190137E-2</v>
      </c>
    </row>
    <row r="83" spans="1:7" x14ac:dyDescent="0.25">
      <c r="A83">
        <v>5</v>
      </c>
      <c r="B83">
        <v>2028</v>
      </c>
      <c r="C83" t="s">
        <v>67</v>
      </c>
      <c r="D83" t="s">
        <v>64</v>
      </c>
      <c r="E83">
        <v>1201343</v>
      </c>
      <c r="F83">
        <v>52835</v>
      </c>
      <c r="G83">
        <v>4.397994577735085E-2</v>
      </c>
    </row>
    <row r="84" spans="1:7" x14ac:dyDescent="0.25">
      <c r="A84">
        <v>5</v>
      </c>
      <c r="B84">
        <v>2028</v>
      </c>
      <c r="C84" t="s">
        <v>67</v>
      </c>
      <c r="D84" t="s">
        <v>65</v>
      </c>
      <c r="E84">
        <v>860807</v>
      </c>
      <c r="F84">
        <v>97267</v>
      </c>
      <c r="G84">
        <v>0.11299513131282619</v>
      </c>
    </row>
    <row r="85" spans="1:7" x14ac:dyDescent="0.25">
      <c r="A85">
        <v>5</v>
      </c>
      <c r="B85">
        <v>2028</v>
      </c>
      <c r="C85" t="s">
        <v>67</v>
      </c>
      <c r="D85" t="s">
        <v>66</v>
      </c>
      <c r="E85">
        <v>1843890</v>
      </c>
      <c r="F85">
        <v>258557</v>
      </c>
      <c r="G85">
        <v>0.14022365759345731</v>
      </c>
    </row>
    <row r="86" spans="1:7" x14ac:dyDescent="0.25">
      <c r="A86">
        <v>5</v>
      </c>
      <c r="B86">
        <v>2028</v>
      </c>
      <c r="C86" t="s">
        <v>68</v>
      </c>
      <c r="D86" t="s">
        <v>61</v>
      </c>
      <c r="E86">
        <v>120187</v>
      </c>
      <c r="F86">
        <v>1163</v>
      </c>
      <c r="G86">
        <v>9.6765873180959666E-3</v>
      </c>
    </row>
    <row r="87" spans="1:7" x14ac:dyDescent="0.25">
      <c r="A87">
        <v>5</v>
      </c>
      <c r="B87">
        <v>2028</v>
      </c>
      <c r="C87" t="s">
        <v>68</v>
      </c>
      <c r="D87" t="s">
        <v>62</v>
      </c>
      <c r="E87">
        <v>1029189</v>
      </c>
      <c r="F87">
        <v>33507</v>
      </c>
      <c r="G87">
        <v>3.2556702413259371E-2</v>
      </c>
    </row>
    <row r="88" spans="1:7" x14ac:dyDescent="0.25">
      <c r="A88">
        <v>5</v>
      </c>
      <c r="B88">
        <v>2028</v>
      </c>
      <c r="C88" t="s">
        <v>68</v>
      </c>
      <c r="D88" t="s">
        <v>63</v>
      </c>
      <c r="E88">
        <v>1106965</v>
      </c>
      <c r="F88">
        <v>40503</v>
      </c>
      <c r="G88">
        <v>3.6589232721901767E-2</v>
      </c>
    </row>
    <row r="89" spans="1:7" x14ac:dyDescent="0.25">
      <c r="A89">
        <v>5</v>
      </c>
      <c r="B89">
        <v>2028</v>
      </c>
      <c r="C89" t="s">
        <v>68</v>
      </c>
      <c r="D89" t="s">
        <v>64</v>
      </c>
      <c r="E89">
        <v>1096722</v>
      </c>
      <c r="F89">
        <v>48517</v>
      </c>
      <c r="G89">
        <v>4.4238193452853139E-2</v>
      </c>
    </row>
    <row r="90" spans="1:7" x14ac:dyDescent="0.25">
      <c r="A90">
        <v>5</v>
      </c>
      <c r="B90">
        <v>2028</v>
      </c>
      <c r="C90" t="s">
        <v>68</v>
      </c>
      <c r="D90" t="s">
        <v>65</v>
      </c>
      <c r="E90">
        <v>652592</v>
      </c>
      <c r="F90">
        <v>59311</v>
      </c>
      <c r="G90">
        <v>9.0885269816363051E-2</v>
      </c>
    </row>
    <row r="91" spans="1:7" x14ac:dyDescent="0.25">
      <c r="A91">
        <v>5</v>
      </c>
      <c r="B91">
        <v>2028</v>
      </c>
      <c r="C91" t="s">
        <v>68</v>
      </c>
      <c r="D91" t="s">
        <v>66</v>
      </c>
      <c r="E91">
        <v>1326070</v>
      </c>
      <c r="F91">
        <v>156274</v>
      </c>
      <c r="G91">
        <v>0.1178474741152428</v>
      </c>
    </row>
    <row r="92" spans="1:7" x14ac:dyDescent="0.25">
      <c r="A92">
        <v>6</v>
      </c>
      <c r="B92">
        <v>2029</v>
      </c>
      <c r="C92" t="s">
        <v>60</v>
      </c>
      <c r="D92" t="s">
        <v>61</v>
      </c>
      <c r="E92">
        <v>264234</v>
      </c>
      <c r="F92">
        <v>2614</v>
      </c>
      <c r="G92">
        <v>9.892746580682274E-3</v>
      </c>
    </row>
    <row r="93" spans="1:7" x14ac:dyDescent="0.25">
      <c r="A93">
        <v>6</v>
      </c>
      <c r="B93">
        <v>2029</v>
      </c>
      <c r="C93" t="s">
        <v>60</v>
      </c>
      <c r="D93" t="s">
        <v>62</v>
      </c>
      <c r="E93">
        <v>1856392</v>
      </c>
      <c r="F93">
        <v>61887</v>
      </c>
      <c r="G93">
        <v>3.3337247736469462E-2</v>
      </c>
    </row>
    <row r="94" spans="1:7" x14ac:dyDescent="0.25">
      <c r="A94">
        <v>6</v>
      </c>
      <c r="B94">
        <v>2029</v>
      </c>
      <c r="C94" t="s">
        <v>60</v>
      </c>
      <c r="D94" t="s">
        <v>63</v>
      </c>
      <c r="E94">
        <v>2346293</v>
      </c>
      <c r="F94">
        <v>90188</v>
      </c>
      <c r="G94">
        <v>3.8438507040680768E-2</v>
      </c>
    </row>
    <row r="95" spans="1:7" x14ac:dyDescent="0.25">
      <c r="A95">
        <v>6</v>
      </c>
      <c r="B95">
        <v>2029</v>
      </c>
      <c r="C95" t="s">
        <v>60</v>
      </c>
      <c r="D95" t="s">
        <v>64</v>
      </c>
      <c r="E95">
        <v>2429704</v>
      </c>
      <c r="F95">
        <v>112733</v>
      </c>
      <c r="G95">
        <v>4.6397832822434343E-2</v>
      </c>
    </row>
    <row r="96" spans="1:7" x14ac:dyDescent="0.25">
      <c r="A96">
        <v>6</v>
      </c>
      <c r="B96">
        <v>2029</v>
      </c>
      <c r="C96" t="s">
        <v>60</v>
      </c>
      <c r="D96" t="s">
        <v>65</v>
      </c>
      <c r="E96">
        <v>1685611</v>
      </c>
      <c r="F96">
        <v>145461</v>
      </c>
      <c r="G96">
        <v>8.6295711169421654E-2</v>
      </c>
    </row>
    <row r="97" spans="1:7" x14ac:dyDescent="0.25">
      <c r="A97">
        <v>6</v>
      </c>
      <c r="B97">
        <v>2029</v>
      </c>
      <c r="C97" t="s">
        <v>60</v>
      </c>
      <c r="D97" t="s">
        <v>66</v>
      </c>
      <c r="E97">
        <v>3239341</v>
      </c>
      <c r="F97">
        <v>414153</v>
      </c>
      <c r="G97">
        <v>0.12785100426290411</v>
      </c>
    </row>
    <row r="98" spans="1:7" x14ac:dyDescent="0.25">
      <c r="A98">
        <v>6</v>
      </c>
      <c r="B98">
        <v>2029</v>
      </c>
      <c r="C98" t="s">
        <v>67</v>
      </c>
      <c r="D98" t="s">
        <v>61</v>
      </c>
      <c r="E98">
        <v>142512</v>
      </c>
      <c r="F98">
        <v>1394</v>
      </c>
      <c r="G98">
        <v>9.78163242393623E-3</v>
      </c>
    </row>
    <row r="99" spans="1:7" x14ac:dyDescent="0.25">
      <c r="A99">
        <v>6</v>
      </c>
      <c r="B99">
        <v>2029</v>
      </c>
      <c r="C99" t="s">
        <v>67</v>
      </c>
      <c r="D99" t="s">
        <v>62</v>
      </c>
      <c r="E99">
        <v>964170</v>
      </c>
      <c r="F99">
        <v>32198</v>
      </c>
      <c r="G99">
        <v>3.3394525861621907E-2</v>
      </c>
    </row>
    <row r="100" spans="1:7" x14ac:dyDescent="0.25">
      <c r="A100">
        <v>6</v>
      </c>
      <c r="B100">
        <v>2029</v>
      </c>
      <c r="C100" t="s">
        <v>67</v>
      </c>
      <c r="D100" t="s">
        <v>63</v>
      </c>
      <c r="E100">
        <v>1221092</v>
      </c>
      <c r="F100">
        <v>47039</v>
      </c>
      <c r="G100">
        <v>3.8522076960622133E-2</v>
      </c>
    </row>
    <row r="101" spans="1:7" x14ac:dyDescent="0.25">
      <c r="A101">
        <v>6</v>
      </c>
      <c r="B101">
        <v>2029</v>
      </c>
      <c r="C101" t="s">
        <v>67</v>
      </c>
      <c r="D101" t="s">
        <v>64</v>
      </c>
      <c r="E101">
        <v>1275502</v>
      </c>
      <c r="F101">
        <v>58844</v>
      </c>
      <c r="G101">
        <v>4.6133992733841257E-2</v>
      </c>
    </row>
    <row r="102" spans="1:7" x14ac:dyDescent="0.25">
      <c r="A102">
        <v>6</v>
      </c>
      <c r="B102">
        <v>2029</v>
      </c>
      <c r="C102" t="s">
        <v>67</v>
      </c>
      <c r="D102" t="s">
        <v>65</v>
      </c>
      <c r="E102">
        <v>939175</v>
      </c>
      <c r="F102">
        <v>87280</v>
      </c>
      <c r="G102">
        <v>9.2932627039689089E-2</v>
      </c>
    </row>
    <row r="103" spans="1:7" x14ac:dyDescent="0.25">
      <c r="A103">
        <v>6</v>
      </c>
      <c r="B103">
        <v>2029</v>
      </c>
      <c r="C103" t="s">
        <v>67</v>
      </c>
      <c r="D103" t="s">
        <v>66</v>
      </c>
      <c r="E103">
        <v>1884170</v>
      </c>
      <c r="F103">
        <v>255880</v>
      </c>
      <c r="G103">
        <v>0.1358051555857486</v>
      </c>
    </row>
    <row r="104" spans="1:7" x14ac:dyDescent="0.25">
      <c r="A104">
        <v>6</v>
      </c>
      <c r="B104">
        <v>2029</v>
      </c>
      <c r="C104" t="s">
        <v>68</v>
      </c>
      <c r="D104" t="s">
        <v>61</v>
      </c>
      <c r="E104">
        <v>121722</v>
      </c>
      <c r="F104">
        <v>1220</v>
      </c>
      <c r="G104">
        <v>1.0022838928049159E-2</v>
      </c>
    </row>
    <row r="105" spans="1:7" x14ac:dyDescent="0.25">
      <c r="A105">
        <v>6</v>
      </c>
      <c r="B105">
        <v>2029</v>
      </c>
      <c r="C105" t="s">
        <v>68</v>
      </c>
      <c r="D105" t="s">
        <v>62</v>
      </c>
      <c r="E105">
        <v>892222</v>
      </c>
      <c r="F105">
        <v>29689</v>
      </c>
      <c r="G105">
        <v>3.3275350753512019E-2</v>
      </c>
    </row>
    <row r="106" spans="1:7" x14ac:dyDescent="0.25">
      <c r="A106">
        <v>6</v>
      </c>
      <c r="B106">
        <v>2029</v>
      </c>
      <c r="C106" t="s">
        <v>68</v>
      </c>
      <c r="D106" t="s">
        <v>63</v>
      </c>
      <c r="E106">
        <v>1125201</v>
      </c>
      <c r="F106">
        <v>43149</v>
      </c>
      <c r="G106">
        <v>3.8347815190352658E-2</v>
      </c>
    </row>
    <row r="107" spans="1:7" x14ac:dyDescent="0.25">
      <c r="A107">
        <v>6</v>
      </c>
      <c r="B107">
        <v>2029</v>
      </c>
      <c r="C107" t="s">
        <v>68</v>
      </c>
      <c r="D107" t="s">
        <v>64</v>
      </c>
      <c r="E107">
        <v>1154202</v>
      </c>
      <c r="F107">
        <v>53889</v>
      </c>
      <c r="G107">
        <v>4.6689400988735072E-2</v>
      </c>
    </row>
    <row r="108" spans="1:7" x14ac:dyDescent="0.25">
      <c r="A108">
        <v>6</v>
      </c>
      <c r="B108">
        <v>2029</v>
      </c>
      <c r="C108" t="s">
        <v>68</v>
      </c>
      <c r="D108" t="s">
        <v>65</v>
      </c>
      <c r="E108">
        <v>746436</v>
      </c>
      <c r="F108">
        <v>58181</v>
      </c>
      <c r="G108">
        <v>7.7945061599386953E-2</v>
      </c>
    </row>
    <row r="109" spans="1:7" x14ac:dyDescent="0.25">
      <c r="A109">
        <v>6</v>
      </c>
      <c r="B109">
        <v>2029</v>
      </c>
      <c r="C109" t="s">
        <v>68</v>
      </c>
      <c r="D109" t="s">
        <v>66</v>
      </c>
      <c r="E109">
        <v>1355171</v>
      </c>
      <c r="F109">
        <v>158273</v>
      </c>
      <c r="G109">
        <v>0.1167919030144535</v>
      </c>
    </row>
    <row r="110" spans="1:7" x14ac:dyDescent="0.25">
      <c r="A110">
        <v>7</v>
      </c>
      <c r="B110">
        <v>2030</v>
      </c>
      <c r="C110" t="s">
        <v>60</v>
      </c>
      <c r="D110" t="s">
        <v>61</v>
      </c>
      <c r="E110">
        <v>267464</v>
      </c>
      <c r="F110">
        <v>2559</v>
      </c>
      <c r="G110">
        <v>9.5676427481829335E-3</v>
      </c>
    </row>
    <row r="111" spans="1:7" x14ac:dyDescent="0.25">
      <c r="A111">
        <v>7</v>
      </c>
      <c r="B111">
        <v>2030</v>
      </c>
      <c r="C111" t="s">
        <v>60</v>
      </c>
      <c r="D111" t="s">
        <v>62</v>
      </c>
      <c r="E111">
        <v>1572219</v>
      </c>
      <c r="F111">
        <v>52044</v>
      </c>
      <c r="G111">
        <v>3.3102258654805733E-2</v>
      </c>
    </row>
    <row r="112" spans="1:7" x14ac:dyDescent="0.25">
      <c r="A112">
        <v>7</v>
      </c>
      <c r="B112">
        <v>2030</v>
      </c>
      <c r="C112" t="s">
        <v>60</v>
      </c>
      <c r="D112" t="s">
        <v>63</v>
      </c>
      <c r="E112">
        <v>2390353</v>
      </c>
      <c r="F112">
        <v>95208</v>
      </c>
      <c r="G112">
        <v>3.9830100407764038E-2</v>
      </c>
    </row>
    <row r="113" spans="1:7" x14ac:dyDescent="0.25">
      <c r="A113">
        <v>7</v>
      </c>
      <c r="B113">
        <v>2030</v>
      </c>
      <c r="C113" t="s">
        <v>60</v>
      </c>
      <c r="D113" t="s">
        <v>64</v>
      </c>
      <c r="E113">
        <v>2541942</v>
      </c>
      <c r="F113">
        <v>122466</v>
      </c>
      <c r="G113">
        <v>4.8178125228663757E-2</v>
      </c>
    </row>
    <row r="114" spans="1:7" x14ac:dyDescent="0.25">
      <c r="A114">
        <v>7</v>
      </c>
      <c r="B114">
        <v>2030</v>
      </c>
      <c r="C114" t="s">
        <v>60</v>
      </c>
      <c r="D114" t="s">
        <v>65</v>
      </c>
      <c r="E114">
        <v>1871627</v>
      </c>
      <c r="F114">
        <v>141726</v>
      </c>
      <c r="G114">
        <v>7.5723421386846845E-2</v>
      </c>
    </row>
    <row r="115" spans="1:7" x14ac:dyDescent="0.25">
      <c r="A115">
        <v>7</v>
      </c>
      <c r="B115">
        <v>2030</v>
      </c>
      <c r="C115" t="s">
        <v>60</v>
      </c>
      <c r="D115" t="s">
        <v>66</v>
      </c>
      <c r="E115">
        <v>3318559</v>
      </c>
      <c r="F115">
        <v>414029</v>
      </c>
      <c r="G115">
        <v>0.12476168119958091</v>
      </c>
    </row>
    <row r="116" spans="1:7" x14ac:dyDescent="0.25">
      <c r="A116">
        <v>7</v>
      </c>
      <c r="B116">
        <v>2030</v>
      </c>
      <c r="C116" t="s">
        <v>67</v>
      </c>
      <c r="D116" t="s">
        <v>61</v>
      </c>
      <c r="E116">
        <v>144186</v>
      </c>
      <c r="F116">
        <v>1383</v>
      </c>
      <c r="G116">
        <v>9.5917772876700936E-3</v>
      </c>
    </row>
    <row r="117" spans="1:7" x14ac:dyDescent="0.25">
      <c r="A117">
        <v>7</v>
      </c>
      <c r="B117">
        <v>2030</v>
      </c>
      <c r="C117" t="s">
        <v>67</v>
      </c>
      <c r="D117" t="s">
        <v>62</v>
      </c>
      <c r="E117">
        <v>821022</v>
      </c>
      <c r="F117">
        <v>27091</v>
      </c>
      <c r="G117">
        <v>3.2996679747923932E-2</v>
      </c>
    </row>
    <row r="118" spans="1:7" x14ac:dyDescent="0.25">
      <c r="A118">
        <v>7</v>
      </c>
      <c r="B118">
        <v>2030</v>
      </c>
      <c r="C118" t="s">
        <v>67</v>
      </c>
      <c r="D118" t="s">
        <v>63</v>
      </c>
      <c r="E118">
        <v>1247553</v>
      </c>
      <c r="F118">
        <v>49751</v>
      </c>
      <c r="G118">
        <v>3.9878866869784292E-2</v>
      </c>
    </row>
    <row r="119" spans="1:7" x14ac:dyDescent="0.25">
      <c r="A119">
        <v>7</v>
      </c>
      <c r="B119">
        <v>2030</v>
      </c>
      <c r="C119" t="s">
        <v>67</v>
      </c>
      <c r="D119" t="s">
        <v>64</v>
      </c>
      <c r="E119">
        <v>1338749</v>
      </c>
      <c r="F119">
        <v>64209</v>
      </c>
      <c r="G119">
        <v>4.7961940587817442E-2</v>
      </c>
    </row>
    <row r="120" spans="1:7" x14ac:dyDescent="0.25">
      <c r="A120">
        <v>7</v>
      </c>
      <c r="B120">
        <v>2030</v>
      </c>
      <c r="C120" t="s">
        <v>67</v>
      </c>
      <c r="D120" t="s">
        <v>65</v>
      </c>
      <c r="E120">
        <v>1026652</v>
      </c>
      <c r="F120">
        <v>81962</v>
      </c>
      <c r="G120">
        <v>7.9834257372507919E-2</v>
      </c>
    </row>
    <row r="121" spans="1:7" x14ac:dyDescent="0.25">
      <c r="A121">
        <v>7</v>
      </c>
      <c r="B121">
        <v>2030</v>
      </c>
      <c r="C121" t="s">
        <v>67</v>
      </c>
      <c r="D121" t="s">
        <v>66</v>
      </c>
      <c r="E121">
        <v>1929649</v>
      </c>
      <c r="F121">
        <v>253897</v>
      </c>
      <c r="G121">
        <v>0.1315767789893395</v>
      </c>
    </row>
    <row r="122" spans="1:7" x14ac:dyDescent="0.25">
      <c r="A122">
        <v>7</v>
      </c>
      <c r="B122">
        <v>2030</v>
      </c>
      <c r="C122" t="s">
        <v>68</v>
      </c>
      <c r="D122" t="s">
        <v>61</v>
      </c>
      <c r="E122">
        <v>123278</v>
      </c>
      <c r="F122">
        <v>1176</v>
      </c>
      <c r="G122">
        <v>9.5394149807751585E-3</v>
      </c>
    </row>
    <row r="123" spans="1:7" x14ac:dyDescent="0.25">
      <c r="A123">
        <v>7</v>
      </c>
      <c r="B123">
        <v>2030</v>
      </c>
      <c r="C123" t="s">
        <v>68</v>
      </c>
      <c r="D123" t="s">
        <v>62</v>
      </c>
      <c r="E123">
        <v>751197</v>
      </c>
      <c r="F123">
        <v>24953</v>
      </c>
      <c r="G123">
        <v>3.3217651295199532E-2</v>
      </c>
    </row>
    <row r="124" spans="1:7" x14ac:dyDescent="0.25">
      <c r="A124">
        <v>7</v>
      </c>
      <c r="B124">
        <v>2030</v>
      </c>
      <c r="C124" t="s">
        <v>68</v>
      </c>
      <c r="D124" t="s">
        <v>63</v>
      </c>
      <c r="E124">
        <v>1142800</v>
      </c>
      <c r="F124">
        <v>45457</v>
      </c>
      <c r="G124">
        <v>3.9776863843192158E-2</v>
      </c>
    </row>
    <row r="125" spans="1:7" x14ac:dyDescent="0.25">
      <c r="A125">
        <v>7</v>
      </c>
      <c r="B125">
        <v>2030</v>
      </c>
      <c r="C125" t="s">
        <v>68</v>
      </c>
      <c r="D125" t="s">
        <v>64</v>
      </c>
      <c r="E125">
        <v>1203193</v>
      </c>
      <c r="F125">
        <v>58257</v>
      </c>
      <c r="G125">
        <v>4.8418665999552857E-2</v>
      </c>
    </row>
    <row r="126" spans="1:7" x14ac:dyDescent="0.25">
      <c r="A126">
        <v>7</v>
      </c>
      <c r="B126">
        <v>2030</v>
      </c>
      <c r="C126" t="s">
        <v>68</v>
      </c>
      <c r="D126" t="s">
        <v>65</v>
      </c>
      <c r="E126">
        <v>844975</v>
      </c>
      <c r="F126">
        <v>59764</v>
      </c>
      <c r="G126">
        <v>7.0728719784609012E-2</v>
      </c>
    </row>
    <row r="127" spans="1:7" x14ac:dyDescent="0.25">
      <c r="A127">
        <v>7</v>
      </c>
      <c r="B127">
        <v>2030</v>
      </c>
      <c r="C127" t="s">
        <v>68</v>
      </c>
      <c r="D127" t="s">
        <v>66</v>
      </c>
      <c r="E127">
        <v>1388910</v>
      </c>
      <c r="F127">
        <v>160132</v>
      </c>
      <c r="G127">
        <v>0.1152932875420294</v>
      </c>
    </row>
    <row r="128" spans="1:7" x14ac:dyDescent="0.25">
      <c r="A128">
        <v>8</v>
      </c>
      <c r="B128">
        <v>2031</v>
      </c>
      <c r="C128" t="s">
        <v>60</v>
      </c>
      <c r="D128" t="s">
        <v>61</v>
      </c>
      <c r="E128">
        <v>267797</v>
      </c>
      <c r="F128">
        <v>2589</v>
      </c>
      <c r="G128">
        <v>9.6677707367894342E-3</v>
      </c>
    </row>
    <row r="129" spans="1:7" x14ac:dyDescent="0.25">
      <c r="A129">
        <v>8</v>
      </c>
      <c r="B129">
        <v>2031</v>
      </c>
      <c r="C129" t="s">
        <v>60</v>
      </c>
      <c r="D129" t="s">
        <v>62</v>
      </c>
      <c r="E129">
        <v>1278223</v>
      </c>
      <c r="F129">
        <v>40808</v>
      </c>
      <c r="G129">
        <v>3.1925571672548531E-2</v>
      </c>
    </row>
    <row r="130" spans="1:7" x14ac:dyDescent="0.25">
      <c r="A130">
        <v>8</v>
      </c>
      <c r="B130">
        <v>2031</v>
      </c>
      <c r="C130" t="s">
        <v>60</v>
      </c>
      <c r="D130" t="s">
        <v>63</v>
      </c>
      <c r="E130">
        <v>2442650</v>
      </c>
      <c r="F130">
        <v>99707</v>
      </c>
      <c r="G130">
        <v>4.0819192270689621E-2</v>
      </c>
    </row>
    <row r="131" spans="1:7" x14ac:dyDescent="0.25">
      <c r="A131">
        <v>8</v>
      </c>
      <c r="B131">
        <v>2031</v>
      </c>
      <c r="C131" t="s">
        <v>60</v>
      </c>
      <c r="D131" t="s">
        <v>64</v>
      </c>
      <c r="E131">
        <v>2628641</v>
      </c>
      <c r="F131">
        <v>130731</v>
      </c>
      <c r="G131">
        <v>4.9733303254419298E-2</v>
      </c>
    </row>
    <row r="132" spans="1:7" x14ac:dyDescent="0.25">
      <c r="A132">
        <v>8</v>
      </c>
      <c r="B132">
        <v>2031</v>
      </c>
      <c r="C132" t="s">
        <v>60</v>
      </c>
      <c r="D132" t="s">
        <v>65</v>
      </c>
      <c r="E132">
        <v>2068451</v>
      </c>
      <c r="F132">
        <v>144229</v>
      </c>
      <c r="G132">
        <v>6.9728023530651675E-2</v>
      </c>
    </row>
    <row r="133" spans="1:7" x14ac:dyDescent="0.25">
      <c r="A133">
        <v>8</v>
      </c>
      <c r="B133">
        <v>2031</v>
      </c>
      <c r="C133" t="s">
        <v>60</v>
      </c>
      <c r="D133" t="s">
        <v>66</v>
      </c>
      <c r="E133">
        <v>3415282</v>
      </c>
      <c r="F133">
        <v>414726</v>
      </c>
      <c r="G133">
        <v>0.12143243222668</v>
      </c>
    </row>
    <row r="134" spans="1:7" x14ac:dyDescent="0.25">
      <c r="A134">
        <v>8</v>
      </c>
      <c r="B134">
        <v>2031</v>
      </c>
      <c r="C134" t="s">
        <v>67</v>
      </c>
      <c r="D134" t="s">
        <v>61</v>
      </c>
      <c r="E134">
        <v>144650</v>
      </c>
      <c r="F134">
        <v>1400</v>
      </c>
      <c r="G134">
        <v>9.6785343933632906E-3</v>
      </c>
    </row>
    <row r="135" spans="1:7" x14ac:dyDescent="0.25">
      <c r="A135">
        <v>8</v>
      </c>
      <c r="B135">
        <v>2031</v>
      </c>
      <c r="C135" t="s">
        <v>67</v>
      </c>
      <c r="D135" t="s">
        <v>62</v>
      </c>
      <c r="E135">
        <v>672376</v>
      </c>
      <c r="F135">
        <v>21246</v>
      </c>
      <c r="G135">
        <v>3.1598391376253761E-2</v>
      </c>
    </row>
    <row r="136" spans="1:7" x14ac:dyDescent="0.25">
      <c r="A136">
        <v>8</v>
      </c>
      <c r="B136">
        <v>2031</v>
      </c>
      <c r="C136" t="s">
        <v>67</v>
      </c>
      <c r="D136" t="s">
        <v>63</v>
      </c>
      <c r="E136">
        <v>1277750</v>
      </c>
      <c r="F136">
        <v>52157</v>
      </c>
      <c r="G136">
        <v>4.0819409117589522E-2</v>
      </c>
    </row>
    <row r="137" spans="1:7" x14ac:dyDescent="0.25">
      <c r="A137">
        <v>8</v>
      </c>
      <c r="B137">
        <v>2031</v>
      </c>
      <c r="C137" t="s">
        <v>67</v>
      </c>
      <c r="D137" t="s">
        <v>64</v>
      </c>
      <c r="E137">
        <v>1387847</v>
      </c>
      <c r="F137">
        <v>68714</v>
      </c>
      <c r="G137">
        <v>4.9511221337798762E-2</v>
      </c>
    </row>
    <row r="138" spans="1:7" x14ac:dyDescent="0.25">
      <c r="A138">
        <v>8</v>
      </c>
      <c r="B138">
        <v>2031</v>
      </c>
      <c r="C138" t="s">
        <v>67</v>
      </c>
      <c r="D138" t="s">
        <v>65</v>
      </c>
      <c r="E138">
        <v>1121665</v>
      </c>
      <c r="F138">
        <v>80644</v>
      </c>
      <c r="G138">
        <v>7.1896689296715152E-2</v>
      </c>
    </row>
    <row r="139" spans="1:7" x14ac:dyDescent="0.25">
      <c r="A139">
        <v>8</v>
      </c>
      <c r="B139">
        <v>2031</v>
      </c>
      <c r="C139" t="s">
        <v>67</v>
      </c>
      <c r="D139" t="s">
        <v>66</v>
      </c>
      <c r="E139">
        <v>1985219</v>
      </c>
      <c r="F139">
        <v>252821</v>
      </c>
      <c r="G139">
        <v>0.12735169268478691</v>
      </c>
    </row>
    <row r="140" spans="1:7" x14ac:dyDescent="0.25">
      <c r="A140">
        <v>8</v>
      </c>
      <c r="B140">
        <v>2031</v>
      </c>
      <c r="C140" t="s">
        <v>68</v>
      </c>
      <c r="D140" t="s">
        <v>61</v>
      </c>
      <c r="E140">
        <v>123147</v>
      </c>
      <c r="F140">
        <v>1189</v>
      </c>
      <c r="G140">
        <v>9.6551276117160783E-3</v>
      </c>
    </row>
    <row r="141" spans="1:7" x14ac:dyDescent="0.25">
      <c r="A141">
        <v>8</v>
      </c>
      <c r="B141">
        <v>2031</v>
      </c>
      <c r="C141" t="s">
        <v>68</v>
      </c>
      <c r="D141" t="s">
        <v>62</v>
      </c>
      <c r="E141">
        <v>605847</v>
      </c>
      <c r="F141">
        <v>19562</v>
      </c>
      <c r="G141">
        <v>3.2288680145317217E-2</v>
      </c>
    </row>
    <row r="142" spans="1:7" x14ac:dyDescent="0.25">
      <c r="A142">
        <v>8</v>
      </c>
      <c r="B142">
        <v>2031</v>
      </c>
      <c r="C142" t="s">
        <v>68</v>
      </c>
      <c r="D142" t="s">
        <v>63</v>
      </c>
      <c r="E142">
        <v>1164900</v>
      </c>
      <c r="F142">
        <v>47550</v>
      </c>
      <c r="G142">
        <v>4.0818954416688133E-2</v>
      </c>
    </row>
    <row r="143" spans="1:7" x14ac:dyDescent="0.25">
      <c r="A143">
        <v>8</v>
      </c>
      <c r="B143">
        <v>2031</v>
      </c>
      <c r="C143" t="s">
        <v>68</v>
      </c>
      <c r="D143" t="s">
        <v>64</v>
      </c>
      <c r="E143">
        <v>1240794</v>
      </c>
      <c r="F143">
        <v>62017</v>
      </c>
      <c r="G143">
        <v>4.9981705262920353E-2</v>
      </c>
    </row>
    <row r="144" spans="1:7" x14ac:dyDescent="0.25">
      <c r="A144">
        <v>8</v>
      </c>
      <c r="B144">
        <v>2031</v>
      </c>
      <c r="C144" t="s">
        <v>68</v>
      </c>
      <c r="D144" t="s">
        <v>65</v>
      </c>
      <c r="E144">
        <v>946786</v>
      </c>
      <c r="F144">
        <v>63585</v>
      </c>
      <c r="G144">
        <v>6.7158787730279071E-2</v>
      </c>
    </row>
    <row r="145" spans="1:7" x14ac:dyDescent="0.25">
      <c r="A145">
        <v>8</v>
      </c>
      <c r="B145">
        <v>2031</v>
      </c>
      <c r="C145" t="s">
        <v>68</v>
      </c>
      <c r="D145" t="s">
        <v>66</v>
      </c>
      <c r="E145">
        <v>1430063</v>
      </c>
      <c r="F145">
        <v>161905</v>
      </c>
      <c r="G145">
        <v>0.11321529191371291</v>
      </c>
    </row>
    <row r="146" spans="1:7" x14ac:dyDescent="0.25">
      <c r="A146">
        <v>9</v>
      </c>
      <c r="B146">
        <v>2032</v>
      </c>
      <c r="C146" t="s">
        <v>60</v>
      </c>
      <c r="D146" t="s">
        <v>61</v>
      </c>
      <c r="E146">
        <v>266438</v>
      </c>
      <c r="F146">
        <v>2595</v>
      </c>
      <c r="G146">
        <v>9.7396017084650094E-3</v>
      </c>
    </row>
    <row r="147" spans="1:7" x14ac:dyDescent="0.25">
      <c r="A147">
        <v>9</v>
      </c>
      <c r="B147">
        <v>2032</v>
      </c>
      <c r="C147" t="s">
        <v>60</v>
      </c>
      <c r="D147" t="s">
        <v>62</v>
      </c>
      <c r="E147">
        <v>972724</v>
      </c>
      <c r="F147">
        <v>27981</v>
      </c>
      <c r="G147">
        <v>2.8765610800185869E-2</v>
      </c>
    </row>
    <row r="148" spans="1:7" x14ac:dyDescent="0.25">
      <c r="A148">
        <v>9</v>
      </c>
      <c r="B148">
        <v>2032</v>
      </c>
      <c r="C148" t="s">
        <v>60</v>
      </c>
      <c r="D148" t="s">
        <v>63</v>
      </c>
      <c r="E148">
        <v>2504890</v>
      </c>
      <c r="F148">
        <v>103985</v>
      </c>
      <c r="G148">
        <v>4.1512800961319658E-2</v>
      </c>
    </row>
    <row r="149" spans="1:7" x14ac:dyDescent="0.25">
      <c r="A149">
        <v>9</v>
      </c>
      <c r="B149">
        <v>2032</v>
      </c>
      <c r="C149" t="s">
        <v>60</v>
      </c>
      <c r="D149" t="s">
        <v>64</v>
      </c>
      <c r="E149">
        <v>2689576</v>
      </c>
      <c r="F149">
        <v>137312</v>
      </c>
      <c r="G149">
        <v>5.1053400238550609E-2</v>
      </c>
    </row>
    <row r="150" spans="1:7" x14ac:dyDescent="0.25">
      <c r="A150">
        <v>9</v>
      </c>
      <c r="B150">
        <v>2032</v>
      </c>
      <c r="C150" t="s">
        <v>60</v>
      </c>
      <c r="D150" t="s">
        <v>65</v>
      </c>
      <c r="E150">
        <v>2276468</v>
      </c>
      <c r="F150">
        <v>151948</v>
      </c>
      <c r="G150">
        <v>6.6747259350889182E-2</v>
      </c>
    </row>
    <row r="151" spans="1:7" x14ac:dyDescent="0.25">
      <c r="A151">
        <v>9</v>
      </c>
      <c r="B151">
        <v>2032</v>
      </c>
      <c r="C151" t="s">
        <v>60</v>
      </c>
      <c r="D151" t="s">
        <v>66</v>
      </c>
      <c r="E151">
        <v>3532177</v>
      </c>
      <c r="F151">
        <v>419661</v>
      </c>
      <c r="G151">
        <v>0.1188108636684968</v>
      </c>
    </row>
    <row r="152" spans="1:7" x14ac:dyDescent="0.25">
      <c r="A152">
        <v>9</v>
      </c>
      <c r="B152">
        <v>2032</v>
      </c>
      <c r="C152" t="s">
        <v>67</v>
      </c>
      <c r="D152" t="s">
        <v>61</v>
      </c>
      <c r="E152">
        <v>144048</v>
      </c>
      <c r="F152">
        <v>1366</v>
      </c>
      <c r="G152">
        <v>9.4829501277351996E-3</v>
      </c>
    </row>
    <row r="153" spans="1:7" x14ac:dyDescent="0.25">
      <c r="A153">
        <v>9</v>
      </c>
      <c r="B153">
        <v>2032</v>
      </c>
      <c r="C153" t="s">
        <v>67</v>
      </c>
      <c r="D153" t="s">
        <v>62</v>
      </c>
      <c r="E153">
        <v>517219</v>
      </c>
      <c r="F153">
        <v>14763</v>
      </c>
      <c r="G153">
        <v>2.8543034961979359E-2</v>
      </c>
    </row>
    <row r="154" spans="1:7" x14ac:dyDescent="0.25">
      <c r="A154">
        <v>9</v>
      </c>
      <c r="B154">
        <v>2032</v>
      </c>
      <c r="C154" t="s">
        <v>67</v>
      </c>
      <c r="D154" t="s">
        <v>63</v>
      </c>
      <c r="E154">
        <v>1312771</v>
      </c>
      <c r="F154">
        <v>54314</v>
      </c>
      <c r="G154">
        <v>4.1373552584571108E-2</v>
      </c>
    </row>
    <row r="155" spans="1:7" x14ac:dyDescent="0.25">
      <c r="A155">
        <v>9</v>
      </c>
      <c r="B155">
        <v>2032</v>
      </c>
      <c r="C155" t="s">
        <v>67</v>
      </c>
      <c r="D155" t="s">
        <v>64</v>
      </c>
      <c r="E155">
        <v>1421941</v>
      </c>
      <c r="F155">
        <v>72207</v>
      </c>
      <c r="G155">
        <v>5.0780587942819012E-2</v>
      </c>
    </row>
    <row r="156" spans="1:7" x14ac:dyDescent="0.25">
      <c r="A156">
        <v>9</v>
      </c>
      <c r="B156">
        <v>2032</v>
      </c>
      <c r="C156" t="s">
        <v>67</v>
      </c>
      <c r="D156" t="s">
        <v>65</v>
      </c>
      <c r="E156">
        <v>1224506</v>
      </c>
      <c r="F156">
        <v>82730</v>
      </c>
      <c r="G156">
        <v>6.7561939263670406E-2</v>
      </c>
    </row>
    <row r="157" spans="1:7" x14ac:dyDescent="0.25">
      <c r="A157">
        <v>9</v>
      </c>
      <c r="B157">
        <v>2032</v>
      </c>
      <c r="C157" t="s">
        <v>67</v>
      </c>
      <c r="D157" t="s">
        <v>66</v>
      </c>
      <c r="E157">
        <v>2051893</v>
      </c>
      <c r="F157">
        <v>254533</v>
      </c>
      <c r="G157">
        <v>0.1240478913861493</v>
      </c>
    </row>
    <row r="158" spans="1:7" x14ac:dyDescent="0.25">
      <c r="A158">
        <v>9</v>
      </c>
      <c r="B158">
        <v>2032</v>
      </c>
      <c r="C158" t="s">
        <v>68</v>
      </c>
      <c r="D158" t="s">
        <v>61</v>
      </c>
      <c r="E158">
        <v>122390</v>
      </c>
      <c r="F158">
        <v>1229</v>
      </c>
      <c r="G158">
        <v>1.004167007108424E-2</v>
      </c>
    </row>
    <row r="159" spans="1:7" x14ac:dyDescent="0.25">
      <c r="A159">
        <v>9</v>
      </c>
      <c r="B159">
        <v>2032</v>
      </c>
      <c r="C159" t="s">
        <v>68</v>
      </c>
      <c r="D159" t="s">
        <v>62</v>
      </c>
      <c r="E159">
        <v>455505</v>
      </c>
      <c r="F159">
        <v>13218</v>
      </c>
      <c r="G159">
        <v>2.9018342279448089E-2</v>
      </c>
    </row>
    <row r="160" spans="1:7" x14ac:dyDescent="0.25">
      <c r="A160">
        <v>9</v>
      </c>
      <c r="B160">
        <v>2032</v>
      </c>
      <c r="C160" t="s">
        <v>68</v>
      </c>
      <c r="D160" t="s">
        <v>63</v>
      </c>
      <c r="E160">
        <v>1192119</v>
      </c>
      <c r="F160">
        <v>49671</v>
      </c>
      <c r="G160">
        <v>4.1666142390147293E-2</v>
      </c>
    </row>
    <row r="161" spans="1:7" x14ac:dyDescent="0.25">
      <c r="A161">
        <v>9</v>
      </c>
      <c r="B161">
        <v>2032</v>
      </c>
      <c r="C161" t="s">
        <v>68</v>
      </c>
      <c r="D161" t="s">
        <v>64</v>
      </c>
      <c r="E161">
        <v>1267635</v>
      </c>
      <c r="F161">
        <v>65105</v>
      </c>
      <c r="G161">
        <v>5.1359421284518023E-2</v>
      </c>
    </row>
    <row r="162" spans="1:7" x14ac:dyDescent="0.25">
      <c r="A162">
        <v>9</v>
      </c>
      <c r="B162">
        <v>2032</v>
      </c>
      <c r="C162" t="s">
        <v>68</v>
      </c>
      <c r="D162" t="s">
        <v>65</v>
      </c>
      <c r="E162">
        <v>1051962</v>
      </c>
      <c r="F162">
        <v>69218</v>
      </c>
      <c r="G162">
        <v>6.5798954715094268E-2</v>
      </c>
    </row>
    <row r="163" spans="1:7" x14ac:dyDescent="0.25">
      <c r="A163">
        <v>9</v>
      </c>
      <c r="B163">
        <v>2032</v>
      </c>
      <c r="C163" t="s">
        <v>68</v>
      </c>
      <c r="D163" t="s">
        <v>66</v>
      </c>
      <c r="E163">
        <v>1480284</v>
      </c>
      <c r="F163">
        <v>165128</v>
      </c>
      <c r="G163">
        <v>0.1115515671317126</v>
      </c>
    </row>
    <row r="164" spans="1:7" x14ac:dyDescent="0.25">
      <c r="A164">
        <v>10</v>
      </c>
      <c r="B164">
        <v>2033</v>
      </c>
      <c r="C164" t="s">
        <v>60</v>
      </c>
      <c r="D164" t="s">
        <v>61</v>
      </c>
      <c r="E164">
        <v>263913</v>
      </c>
      <c r="F164">
        <v>2638</v>
      </c>
      <c r="G164">
        <v>9.9957182859502936E-3</v>
      </c>
    </row>
    <row r="165" spans="1:7" x14ac:dyDescent="0.25">
      <c r="A165">
        <v>10</v>
      </c>
      <c r="B165">
        <v>2033</v>
      </c>
      <c r="C165" t="s">
        <v>60</v>
      </c>
      <c r="D165" t="s">
        <v>62</v>
      </c>
      <c r="E165">
        <v>657263</v>
      </c>
      <c r="F165">
        <v>14398</v>
      </c>
      <c r="G165">
        <v>2.1905995012650951E-2</v>
      </c>
    </row>
    <row r="166" spans="1:7" x14ac:dyDescent="0.25">
      <c r="A166">
        <v>10</v>
      </c>
      <c r="B166">
        <v>2033</v>
      </c>
      <c r="C166" t="s">
        <v>60</v>
      </c>
      <c r="D166" t="s">
        <v>63</v>
      </c>
      <c r="E166">
        <v>2570463</v>
      </c>
      <c r="F166">
        <v>107847</v>
      </c>
      <c r="G166">
        <v>4.1956254573592387E-2</v>
      </c>
    </row>
    <row r="167" spans="1:7" x14ac:dyDescent="0.25">
      <c r="A167">
        <v>10</v>
      </c>
      <c r="B167">
        <v>2033</v>
      </c>
      <c r="C167" t="s">
        <v>60</v>
      </c>
      <c r="D167" t="s">
        <v>64</v>
      </c>
      <c r="E167">
        <v>2733529</v>
      </c>
      <c r="F167">
        <v>141647</v>
      </c>
      <c r="G167">
        <v>5.1818363734205862E-2</v>
      </c>
    </row>
    <row r="168" spans="1:7" x14ac:dyDescent="0.25">
      <c r="A168">
        <v>10</v>
      </c>
      <c r="B168">
        <v>2033</v>
      </c>
      <c r="C168" t="s">
        <v>60</v>
      </c>
      <c r="D168" t="s">
        <v>65</v>
      </c>
      <c r="E168">
        <v>2490514</v>
      </c>
      <c r="F168">
        <v>164376</v>
      </c>
      <c r="G168">
        <v>6.6000833562870953E-2</v>
      </c>
    </row>
    <row r="169" spans="1:7" x14ac:dyDescent="0.25">
      <c r="A169">
        <v>10</v>
      </c>
      <c r="B169">
        <v>2033</v>
      </c>
      <c r="C169" t="s">
        <v>60</v>
      </c>
      <c r="D169" t="s">
        <v>66</v>
      </c>
      <c r="E169">
        <v>3665571</v>
      </c>
      <c r="F169">
        <v>427579</v>
      </c>
      <c r="G169">
        <v>0.1166473108828065</v>
      </c>
    </row>
    <row r="170" spans="1:7" x14ac:dyDescent="0.25">
      <c r="A170">
        <v>10</v>
      </c>
      <c r="B170">
        <v>2033</v>
      </c>
      <c r="C170" t="s">
        <v>67</v>
      </c>
      <c r="D170" t="s">
        <v>61</v>
      </c>
      <c r="E170">
        <v>142949</v>
      </c>
      <c r="F170">
        <v>1406</v>
      </c>
      <c r="G170">
        <v>9.8356756605502658E-3</v>
      </c>
    </row>
    <row r="171" spans="1:7" x14ac:dyDescent="0.25">
      <c r="A171">
        <v>10</v>
      </c>
      <c r="B171">
        <v>2033</v>
      </c>
      <c r="C171" t="s">
        <v>67</v>
      </c>
      <c r="D171" t="s">
        <v>62</v>
      </c>
      <c r="E171">
        <v>355555</v>
      </c>
      <c r="F171">
        <v>7729</v>
      </c>
      <c r="G171">
        <v>2.17378464653851E-2</v>
      </c>
    </row>
    <row r="172" spans="1:7" x14ac:dyDescent="0.25">
      <c r="A172">
        <v>10</v>
      </c>
      <c r="B172">
        <v>2033</v>
      </c>
      <c r="C172" t="s">
        <v>67</v>
      </c>
      <c r="D172" t="s">
        <v>63</v>
      </c>
      <c r="E172">
        <v>1349599</v>
      </c>
      <c r="F172">
        <v>56303</v>
      </c>
      <c r="G172">
        <v>4.1718317811438803E-2</v>
      </c>
    </row>
    <row r="173" spans="1:7" x14ac:dyDescent="0.25">
      <c r="A173">
        <v>10</v>
      </c>
      <c r="B173">
        <v>2033</v>
      </c>
      <c r="C173" t="s">
        <v>67</v>
      </c>
      <c r="D173" t="s">
        <v>64</v>
      </c>
      <c r="E173">
        <v>1447623</v>
      </c>
      <c r="F173">
        <v>74645</v>
      </c>
      <c r="G173">
        <v>5.1563839480306677E-2</v>
      </c>
    </row>
    <row r="174" spans="1:7" x14ac:dyDescent="0.25">
      <c r="A174">
        <v>10</v>
      </c>
      <c r="B174">
        <v>2033</v>
      </c>
      <c r="C174" t="s">
        <v>67</v>
      </c>
      <c r="D174" t="s">
        <v>65</v>
      </c>
      <c r="E174">
        <v>1332360</v>
      </c>
      <c r="F174">
        <v>87644</v>
      </c>
      <c r="G174">
        <v>6.5781020144705632E-2</v>
      </c>
    </row>
    <row r="175" spans="1:7" x14ac:dyDescent="0.25">
      <c r="A175">
        <v>10</v>
      </c>
      <c r="B175">
        <v>2033</v>
      </c>
      <c r="C175" t="s">
        <v>67</v>
      </c>
      <c r="D175" t="s">
        <v>66</v>
      </c>
      <c r="E175">
        <v>2128881</v>
      </c>
      <c r="F175">
        <v>257999</v>
      </c>
      <c r="G175">
        <v>0.1211899584805351</v>
      </c>
    </row>
    <row r="176" spans="1:7" x14ac:dyDescent="0.25">
      <c r="A176">
        <v>10</v>
      </c>
      <c r="B176">
        <v>2033</v>
      </c>
      <c r="C176" t="s">
        <v>68</v>
      </c>
      <c r="D176" t="s">
        <v>61</v>
      </c>
      <c r="E176">
        <v>120964</v>
      </c>
      <c r="F176">
        <v>1232</v>
      </c>
      <c r="G176">
        <v>1.0184848384643371E-2</v>
      </c>
    </row>
    <row r="177" spans="1:7" x14ac:dyDescent="0.25">
      <c r="A177">
        <v>10</v>
      </c>
      <c r="B177">
        <v>2033</v>
      </c>
      <c r="C177" t="s">
        <v>68</v>
      </c>
      <c r="D177" t="s">
        <v>62</v>
      </c>
      <c r="E177">
        <v>301708</v>
      </c>
      <c r="F177">
        <v>6669</v>
      </c>
      <c r="G177">
        <v>2.2104153685019948E-2</v>
      </c>
    </row>
    <row r="178" spans="1:7" x14ac:dyDescent="0.25">
      <c r="A178">
        <v>10</v>
      </c>
      <c r="B178">
        <v>2033</v>
      </c>
      <c r="C178" t="s">
        <v>68</v>
      </c>
      <c r="D178" t="s">
        <v>63</v>
      </c>
      <c r="E178">
        <v>1220864</v>
      </c>
      <c r="F178">
        <v>51544</v>
      </c>
      <c r="G178">
        <v>4.2219280771650242E-2</v>
      </c>
    </row>
    <row r="179" spans="1:7" x14ac:dyDescent="0.25">
      <c r="A179">
        <v>10</v>
      </c>
      <c r="B179">
        <v>2033</v>
      </c>
      <c r="C179" t="s">
        <v>68</v>
      </c>
      <c r="D179" t="s">
        <v>64</v>
      </c>
      <c r="E179">
        <v>1285906</v>
      </c>
      <c r="F179">
        <v>67002</v>
      </c>
      <c r="G179">
        <v>5.2104897247543747E-2</v>
      </c>
    </row>
    <row r="180" spans="1:7" x14ac:dyDescent="0.25">
      <c r="A180">
        <v>10</v>
      </c>
      <c r="B180">
        <v>2033</v>
      </c>
      <c r="C180" t="s">
        <v>68</v>
      </c>
      <c r="D180" t="s">
        <v>65</v>
      </c>
      <c r="E180">
        <v>1158154</v>
      </c>
      <c r="F180">
        <v>76732</v>
      </c>
      <c r="G180">
        <v>6.6253710646425254E-2</v>
      </c>
    </row>
    <row r="181" spans="1:7" x14ac:dyDescent="0.25">
      <c r="A181">
        <v>10</v>
      </c>
      <c r="B181">
        <v>2033</v>
      </c>
      <c r="C181" t="s">
        <v>68</v>
      </c>
      <c r="D181" t="s">
        <v>66</v>
      </c>
      <c r="E181">
        <v>1536690</v>
      </c>
      <c r="F181">
        <v>169580</v>
      </c>
      <c r="G181">
        <v>0.11035407271473099</v>
      </c>
    </row>
    <row r="182" spans="1:7" x14ac:dyDescent="0.25">
      <c r="A182">
        <v>11</v>
      </c>
      <c r="B182">
        <v>2034</v>
      </c>
      <c r="C182" t="s">
        <v>60</v>
      </c>
      <c r="D182" t="s">
        <v>61</v>
      </c>
      <c r="E182">
        <v>260414</v>
      </c>
      <c r="F182">
        <v>2563</v>
      </c>
      <c r="G182">
        <v>9.8420207822928103E-3</v>
      </c>
    </row>
    <row r="183" spans="1:7" x14ac:dyDescent="0.25">
      <c r="A183">
        <v>11</v>
      </c>
      <c r="B183">
        <v>2034</v>
      </c>
      <c r="C183" t="s">
        <v>60</v>
      </c>
      <c r="D183" t="s">
        <v>62</v>
      </c>
      <c r="E183">
        <v>661685</v>
      </c>
      <c r="F183">
        <v>14455</v>
      </c>
      <c r="G183">
        <v>2.184574230940704E-2</v>
      </c>
    </row>
    <row r="184" spans="1:7" x14ac:dyDescent="0.25">
      <c r="A184">
        <v>11</v>
      </c>
      <c r="B184">
        <v>2034</v>
      </c>
      <c r="C184" t="s">
        <v>60</v>
      </c>
      <c r="D184" t="s">
        <v>63</v>
      </c>
      <c r="E184">
        <v>2311976</v>
      </c>
      <c r="F184">
        <v>96494</v>
      </c>
      <c r="G184">
        <v>4.1736592421374619E-2</v>
      </c>
    </row>
    <row r="185" spans="1:7" x14ac:dyDescent="0.25">
      <c r="A185">
        <v>11</v>
      </c>
      <c r="B185">
        <v>2034</v>
      </c>
      <c r="C185" t="s">
        <v>60</v>
      </c>
      <c r="D185" t="s">
        <v>64</v>
      </c>
      <c r="E185">
        <v>2762153</v>
      </c>
      <c r="F185">
        <v>145424</v>
      </c>
      <c r="G185">
        <v>5.26487852048746E-2</v>
      </c>
    </row>
    <row r="186" spans="1:7" x14ac:dyDescent="0.25">
      <c r="A186">
        <v>11</v>
      </c>
      <c r="B186">
        <v>2034</v>
      </c>
      <c r="C186" t="s">
        <v>60</v>
      </c>
      <c r="D186" t="s">
        <v>65</v>
      </c>
      <c r="E186">
        <v>2616387</v>
      </c>
      <c r="F186">
        <v>175118</v>
      </c>
      <c r="G186">
        <v>6.6931229974770551E-2</v>
      </c>
    </row>
    <row r="187" spans="1:7" x14ac:dyDescent="0.25">
      <c r="A187">
        <v>11</v>
      </c>
      <c r="B187">
        <v>2034</v>
      </c>
      <c r="C187" t="s">
        <v>60</v>
      </c>
      <c r="D187" t="s">
        <v>66</v>
      </c>
      <c r="E187">
        <v>3908604</v>
      </c>
      <c r="F187">
        <v>442523</v>
      </c>
      <c r="G187">
        <v>0.11321766032066689</v>
      </c>
    </row>
    <row r="188" spans="1:7" x14ac:dyDescent="0.25">
      <c r="A188">
        <v>11</v>
      </c>
      <c r="B188">
        <v>2034</v>
      </c>
      <c r="C188" t="s">
        <v>67</v>
      </c>
      <c r="D188" t="s">
        <v>61</v>
      </c>
      <c r="E188">
        <v>140837</v>
      </c>
      <c r="F188">
        <v>1389</v>
      </c>
      <c r="G188">
        <v>9.8624651192513336E-3</v>
      </c>
    </row>
    <row r="189" spans="1:7" x14ac:dyDescent="0.25">
      <c r="A189">
        <v>11</v>
      </c>
      <c r="B189">
        <v>2034</v>
      </c>
      <c r="C189" t="s">
        <v>67</v>
      </c>
      <c r="D189" t="s">
        <v>62</v>
      </c>
      <c r="E189">
        <v>358206</v>
      </c>
      <c r="F189">
        <v>7741</v>
      </c>
      <c r="G189">
        <v>2.161046995304378E-2</v>
      </c>
    </row>
    <row r="190" spans="1:7" x14ac:dyDescent="0.25">
      <c r="A190">
        <v>11</v>
      </c>
      <c r="B190">
        <v>2034</v>
      </c>
      <c r="C190" t="s">
        <v>67</v>
      </c>
      <c r="D190" t="s">
        <v>63</v>
      </c>
      <c r="E190">
        <v>1220120</v>
      </c>
      <c r="F190">
        <v>50504</v>
      </c>
      <c r="G190">
        <v>4.1392649903288198E-2</v>
      </c>
    </row>
    <row r="191" spans="1:7" x14ac:dyDescent="0.25">
      <c r="A191">
        <v>11</v>
      </c>
      <c r="B191">
        <v>2034</v>
      </c>
      <c r="C191" t="s">
        <v>67</v>
      </c>
      <c r="D191" t="s">
        <v>64</v>
      </c>
      <c r="E191">
        <v>1464334</v>
      </c>
      <c r="F191">
        <v>76731</v>
      </c>
      <c r="G191">
        <v>5.2399930616922087E-2</v>
      </c>
    </row>
    <row r="192" spans="1:7" x14ac:dyDescent="0.25">
      <c r="A192">
        <v>11</v>
      </c>
      <c r="B192">
        <v>2034</v>
      </c>
      <c r="C192" t="s">
        <v>67</v>
      </c>
      <c r="D192" t="s">
        <v>65</v>
      </c>
      <c r="E192">
        <v>1403511</v>
      </c>
      <c r="F192">
        <v>93755</v>
      </c>
      <c r="G192">
        <v>6.680033145447381E-2</v>
      </c>
    </row>
    <row r="193" spans="1:7" x14ac:dyDescent="0.25">
      <c r="A193">
        <v>11</v>
      </c>
      <c r="B193">
        <v>2034</v>
      </c>
      <c r="C193" t="s">
        <v>67</v>
      </c>
      <c r="D193" t="s">
        <v>66</v>
      </c>
      <c r="E193">
        <v>2255004</v>
      </c>
      <c r="F193">
        <v>263985</v>
      </c>
      <c r="G193">
        <v>0.1170663111905788</v>
      </c>
    </row>
    <row r="194" spans="1:7" x14ac:dyDescent="0.25">
      <c r="A194">
        <v>11</v>
      </c>
      <c r="B194">
        <v>2034</v>
      </c>
      <c r="C194" t="s">
        <v>68</v>
      </c>
      <c r="D194" t="s">
        <v>61</v>
      </c>
      <c r="E194">
        <v>119577</v>
      </c>
      <c r="F194">
        <v>1174</v>
      </c>
      <c r="G194">
        <v>9.8179415773936452E-3</v>
      </c>
    </row>
    <row r="195" spans="1:7" x14ac:dyDescent="0.25">
      <c r="A195">
        <v>11</v>
      </c>
      <c r="B195">
        <v>2034</v>
      </c>
      <c r="C195" t="s">
        <v>68</v>
      </c>
      <c r="D195" t="s">
        <v>62</v>
      </c>
      <c r="E195">
        <v>303479</v>
      </c>
      <c r="F195">
        <v>6714</v>
      </c>
      <c r="G195">
        <v>2.2123441819697571E-2</v>
      </c>
    </row>
    <row r="196" spans="1:7" x14ac:dyDescent="0.25">
      <c r="A196">
        <v>11</v>
      </c>
      <c r="B196">
        <v>2034</v>
      </c>
      <c r="C196" t="s">
        <v>68</v>
      </c>
      <c r="D196" t="s">
        <v>63</v>
      </c>
      <c r="E196">
        <v>1091856</v>
      </c>
      <c r="F196">
        <v>45990</v>
      </c>
      <c r="G196">
        <v>4.2120939024926363E-2</v>
      </c>
    </row>
    <row r="197" spans="1:7" x14ac:dyDescent="0.25">
      <c r="A197">
        <v>11</v>
      </c>
      <c r="B197">
        <v>2034</v>
      </c>
      <c r="C197" t="s">
        <v>68</v>
      </c>
      <c r="D197" t="s">
        <v>64</v>
      </c>
      <c r="E197">
        <v>1297819</v>
      </c>
      <c r="F197">
        <v>68693</v>
      </c>
      <c r="G197">
        <v>5.2929568761129253E-2</v>
      </c>
    </row>
    <row r="198" spans="1:7" x14ac:dyDescent="0.25">
      <c r="A198">
        <v>11</v>
      </c>
      <c r="B198">
        <v>2034</v>
      </c>
      <c r="C198" t="s">
        <v>68</v>
      </c>
      <c r="D198" t="s">
        <v>65</v>
      </c>
      <c r="E198">
        <v>1212876</v>
      </c>
      <c r="F198">
        <v>81363</v>
      </c>
      <c r="G198">
        <v>6.7082702601090297E-2</v>
      </c>
    </row>
    <row r="199" spans="1:7" x14ac:dyDescent="0.25">
      <c r="A199">
        <v>11</v>
      </c>
      <c r="B199">
        <v>2034</v>
      </c>
      <c r="C199" t="s">
        <v>68</v>
      </c>
      <c r="D199" t="s">
        <v>66</v>
      </c>
      <c r="E199">
        <v>1653600</v>
      </c>
      <c r="F199">
        <v>178538</v>
      </c>
      <c r="G199">
        <v>0.1079692791485244</v>
      </c>
    </row>
    <row r="200" spans="1:7" x14ac:dyDescent="0.25">
      <c r="A200">
        <v>12</v>
      </c>
      <c r="B200">
        <v>2035</v>
      </c>
      <c r="C200" t="s">
        <v>60</v>
      </c>
      <c r="D200" t="s">
        <v>61</v>
      </c>
      <c r="E200">
        <v>256243</v>
      </c>
      <c r="F200">
        <v>2593</v>
      </c>
      <c r="G200">
        <v>1.0119300819924839E-2</v>
      </c>
    </row>
    <row r="201" spans="1:7" x14ac:dyDescent="0.25">
      <c r="A201">
        <v>12</v>
      </c>
      <c r="B201">
        <v>2035</v>
      </c>
      <c r="C201" t="s">
        <v>60</v>
      </c>
      <c r="D201" t="s">
        <v>62</v>
      </c>
      <c r="E201">
        <v>665384</v>
      </c>
      <c r="F201">
        <v>14452</v>
      </c>
      <c r="G201">
        <v>2.171978887379318E-2</v>
      </c>
    </row>
    <row r="202" spans="1:7" x14ac:dyDescent="0.25">
      <c r="A202">
        <v>12</v>
      </c>
      <c r="B202">
        <v>2035</v>
      </c>
      <c r="C202" t="s">
        <v>60</v>
      </c>
      <c r="D202" t="s">
        <v>63</v>
      </c>
      <c r="E202">
        <v>2045808</v>
      </c>
      <c r="F202">
        <v>83759</v>
      </c>
      <c r="G202">
        <v>4.0941769706639139E-2</v>
      </c>
    </row>
    <row r="203" spans="1:7" x14ac:dyDescent="0.25">
      <c r="A203">
        <v>12</v>
      </c>
      <c r="B203">
        <v>2035</v>
      </c>
      <c r="C203" t="s">
        <v>60</v>
      </c>
      <c r="D203" t="s">
        <v>64</v>
      </c>
      <c r="E203">
        <v>2795131</v>
      </c>
      <c r="F203">
        <v>148726</v>
      </c>
      <c r="G203">
        <v>5.3208955143783959E-2</v>
      </c>
    </row>
    <row r="204" spans="1:7" x14ac:dyDescent="0.25">
      <c r="A204">
        <v>12</v>
      </c>
      <c r="B204">
        <v>2035</v>
      </c>
      <c r="C204" t="s">
        <v>60</v>
      </c>
      <c r="D204" t="s">
        <v>65</v>
      </c>
      <c r="E204">
        <v>2720309</v>
      </c>
      <c r="F204">
        <v>183824</v>
      </c>
      <c r="G204">
        <v>6.757467625920438E-2</v>
      </c>
    </row>
    <row r="205" spans="1:7" x14ac:dyDescent="0.25">
      <c r="A205">
        <v>12</v>
      </c>
      <c r="B205">
        <v>2035</v>
      </c>
      <c r="C205" t="s">
        <v>60</v>
      </c>
      <c r="D205" t="s">
        <v>66</v>
      </c>
      <c r="E205">
        <v>4175086</v>
      </c>
      <c r="F205">
        <v>464176</v>
      </c>
      <c r="G205">
        <v>0.1111775901143114</v>
      </c>
    </row>
    <row r="206" spans="1:7" x14ac:dyDescent="0.25">
      <c r="A206">
        <v>12</v>
      </c>
      <c r="B206">
        <v>2035</v>
      </c>
      <c r="C206" t="s">
        <v>67</v>
      </c>
      <c r="D206" t="s">
        <v>61</v>
      </c>
      <c r="E206">
        <v>138467</v>
      </c>
      <c r="F206">
        <v>1388</v>
      </c>
      <c r="G206">
        <v>1.002404905139853E-2</v>
      </c>
    </row>
    <row r="207" spans="1:7" x14ac:dyDescent="0.25">
      <c r="A207">
        <v>12</v>
      </c>
      <c r="B207">
        <v>2035</v>
      </c>
      <c r="C207" t="s">
        <v>67</v>
      </c>
      <c r="D207" t="s">
        <v>62</v>
      </c>
      <c r="E207">
        <v>360237</v>
      </c>
      <c r="F207">
        <v>7765</v>
      </c>
      <c r="G207">
        <v>2.1555253902292099E-2</v>
      </c>
    </row>
    <row r="208" spans="1:7" x14ac:dyDescent="0.25">
      <c r="A208">
        <v>12</v>
      </c>
      <c r="B208">
        <v>2035</v>
      </c>
      <c r="C208" t="s">
        <v>67</v>
      </c>
      <c r="D208" t="s">
        <v>63</v>
      </c>
      <c r="E208">
        <v>1085486</v>
      </c>
      <c r="F208">
        <v>43973</v>
      </c>
      <c r="G208">
        <v>4.0509965121613728E-2</v>
      </c>
    </row>
    <row r="209" spans="1:7" x14ac:dyDescent="0.25">
      <c r="A209">
        <v>12</v>
      </c>
      <c r="B209">
        <v>2035</v>
      </c>
      <c r="C209" t="s">
        <v>67</v>
      </c>
      <c r="D209" t="s">
        <v>64</v>
      </c>
      <c r="E209">
        <v>1484210</v>
      </c>
      <c r="F209">
        <v>78672</v>
      </c>
      <c r="G209">
        <v>5.300597624325399E-2</v>
      </c>
    </row>
    <row r="210" spans="1:7" x14ac:dyDescent="0.25">
      <c r="A210">
        <v>12</v>
      </c>
      <c r="B210">
        <v>2035</v>
      </c>
      <c r="C210" t="s">
        <v>67</v>
      </c>
      <c r="D210" t="s">
        <v>65</v>
      </c>
      <c r="E210">
        <v>1463019</v>
      </c>
      <c r="F210">
        <v>98745</v>
      </c>
      <c r="G210">
        <v>6.7493997002089509E-2</v>
      </c>
    </row>
    <row r="211" spans="1:7" x14ac:dyDescent="0.25">
      <c r="A211">
        <v>12</v>
      </c>
      <c r="B211">
        <v>2035</v>
      </c>
      <c r="C211" t="s">
        <v>67</v>
      </c>
      <c r="D211" t="s">
        <v>66</v>
      </c>
      <c r="E211">
        <v>2395214</v>
      </c>
      <c r="F211">
        <v>274233</v>
      </c>
      <c r="G211">
        <v>0.1144920662621377</v>
      </c>
    </row>
    <row r="212" spans="1:7" x14ac:dyDescent="0.25">
      <c r="A212">
        <v>12</v>
      </c>
      <c r="B212">
        <v>2035</v>
      </c>
      <c r="C212" t="s">
        <v>68</v>
      </c>
      <c r="D212" t="s">
        <v>61</v>
      </c>
      <c r="E212">
        <v>117776</v>
      </c>
      <c r="F212">
        <v>1205</v>
      </c>
      <c r="G212">
        <v>1.023128650998506E-2</v>
      </c>
    </row>
    <row r="213" spans="1:7" x14ac:dyDescent="0.25">
      <c r="A213">
        <v>12</v>
      </c>
      <c r="B213">
        <v>2035</v>
      </c>
      <c r="C213" t="s">
        <v>68</v>
      </c>
      <c r="D213" t="s">
        <v>62</v>
      </c>
      <c r="E213">
        <v>305147</v>
      </c>
      <c r="F213">
        <v>6687</v>
      </c>
      <c r="G213">
        <v>2.1914028320776539E-2</v>
      </c>
    </row>
    <row r="214" spans="1:7" x14ac:dyDescent="0.25">
      <c r="A214">
        <v>12</v>
      </c>
      <c r="B214">
        <v>2035</v>
      </c>
      <c r="C214" t="s">
        <v>68</v>
      </c>
      <c r="D214" t="s">
        <v>63</v>
      </c>
      <c r="E214">
        <v>960322</v>
      </c>
      <c r="F214">
        <v>39786</v>
      </c>
      <c r="G214">
        <v>4.1429853736559198E-2</v>
      </c>
    </row>
    <row r="215" spans="1:7" x14ac:dyDescent="0.25">
      <c r="A215">
        <v>12</v>
      </c>
      <c r="B215">
        <v>2035</v>
      </c>
      <c r="C215" t="s">
        <v>68</v>
      </c>
      <c r="D215" t="s">
        <v>64</v>
      </c>
      <c r="E215">
        <v>1310921</v>
      </c>
      <c r="F215">
        <v>70054</v>
      </c>
      <c r="G215">
        <v>5.3438765570160217E-2</v>
      </c>
    </row>
    <row r="216" spans="1:7" x14ac:dyDescent="0.25">
      <c r="A216">
        <v>12</v>
      </c>
      <c r="B216">
        <v>2035</v>
      </c>
      <c r="C216" t="s">
        <v>68</v>
      </c>
      <c r="D216" t="s">
        <v>65</v>
      </c>
      <c r="E216">
        <v>1257290</v>
      </c>
      <c r="F216">
        <v>85079</v>
      </c>
      <c r="G216">
        <v>6.7668556975717609E-2</v>
      </c>
    </row>
    <row r="217" spans="1:7" x14ac:dyDescent="0.25">
      <c r="A217">
        <v>12</v>
      </c>
      <c r="B217">
        <v>2035</v>
      </c>
      <c r="C217" t="s">
        <v>68</v>
      </c>
      <c r="D217" t="s">
        <v>66</v>
      </c>
      <c r="E217">
        <v>1779872</v>
      </c>
      <c r="F217">
        <v>189943</v>
      </c>
      <c r="G217">
        <v>0.10671722460941011</v>
      </c>
    </row>
    <row r="218" spans="1:7" x14ac:dyDescent="0.25">
      <c r="A218">
        <v>13</v>
      </c>
      <c r="B218">
        <v>2036</v>
      </c>
      <c r="C218" t="s">
        <v>60</v>
      </c>
      <c r="D218" t="s">
        <v>61</v>
      </c>
      <c r="E218">
        <v>252208</v>
      </c>
      <c r="F218">
        <v>2549</v>
      </c>
      <c r="G218">
        <v>1.010673729619996E-2</v>
      </c>
    </row>
    <row r="219" spans="1:7" x14ac:dyDescent="0.25">
      <c r="A219">
        <v>13</v>
      </c>
      <c r="B219">
        <v>2036</v>
      </c>
      <c r="C219" t="s">
        <v>60</v>
      </c>
      <c r="D219" t="s">
        <v>62</v>
      </c>
      <c r="E219">
        <v>664566</v>
      </c>
      <c r="F219">
        <v>14423</v>
      </c>
      <c r="G219">
        <v>2.1702885793134161E-2</v>
      </c>
    </row>
    <row r="220" spans="1:7" x14ac:dyDescent="0.25">
      <c r="A220">
        <v>13</v>
      </c>
      <c r="B220">
        <v>2036</v>
      </c>
      <c r="C220" t="s">
        <v>60</v>
      </c>
      <c r="D220" t="s">
        <v>63</v>
      </c>
      <c r="E220">
        <v>1774653</v>
      </c>
      <c r="F220">
        <v>69611</v>
      </c>
      <c r="G220">
        <v>3.9225133026005637E-2</v>
      </c>
    </row>
    <row r="221" spans="1:7" x14ac:dyDescent="0.25">
      <c r="A221">
        <v>13</v>
      </c>
      <c r="B221">
        <v>2036</v>
      </c>
      <c r="C221" t="s">
        <v>60</v>
      </c>
      <c r="D221" t="s">
        <v>64</v>
      </c>
      <c r="E221">
        <v>2842535</v>
      </c>
      <c r="F221">
        <v>152591</v>
      </c>
      <c r="G221">
        <v>5.3681309113168353E-2</v>
      </c>
    </row>
    <row r="222" spans="1:7" x14ac:dyDescent="0.25">
      <c r="A222">
        <v>13</v>
      </c>
      <c r="B222">
        <v>2036</v>
      </c>
      <c r="C222" t="s">
        <v>60</v>
      </c>
      <c r="D222" t="s">
        <v>65</v>
      </c>
      <c r="E222">
        <v>2799437</v>
      </c>
      <c r="F222">
        <v>190996</v>
      </c>
      <c r="G222">
        <v>6.8226575557871094E-2</v>
      </c>
    </row>
    <row r="223" spans="1:7" x14ac:dyDescent="0.25">
      <c r="A223">
        <v>13</v>
      </c>
      <c r="B223">
        <v>2036</v>
      </c>
      <c r="C223" t="s">
        <v>60</v>
      </c>
      <c r="D223" t="s">
        <v>66</v>
      </c>
      <c r="E223">
        <v>4459439</v>
      </c>
      <c r="F223">
        <v>491123</v>
      </c>
      <c r="G223">
        <v>0.1101311173894295</v>
      </c>
    </row>
    <row r="224" spans="1:7" x14ac:dyDescent="0.25">
      <c r="A224">
        <v>13</v>
      </c>
      <c r="B224">
        <v>2036</v>
      </c>
      <c r="C224" t="s">
        <v>67</v>
      </c>
      <c r="D224" t="s">
        <v>61</v>
      </c>
      <c r="E224">
        <v>136333</v>
      </c>
      <c r="F224">
        <v>1352</v>
      </c>
      <c r="G224">
        <v>9.9168946623341379E-3</v>
      </c>
    </row>
    <row r="225" spans="1:7" x14ac:dyDescent="0.25">
      <c r="A225">
        <v>13</v>
      </c>
      <c r="B225">
        <v>2036</v>
      </c>
      <c r="C225" t="s">
        <v>67</v>
      </c>
      <c r="D225" t="s">
        <v>62</v>
      </c>
      <c r="E225">
        <v>360292</v>
      </c>
      <c r="F225">
        <v>7776</v>
      </c>
      <c r="G225">
        <v>2.1582494199149579E-2</v>
      </c>
    </row>
    <row r="226" spans="1:7" x14ac:dyDescent="0.25">
      <c r="A226">
        <v>13</v>
      </c>
      <c r="B226">
        <v>2036</v>
      </c>
      <c r="C226" t="s">
        <v>67</v>
      </c>
      <c r="D226" t="s">
        <v>63</v>
      </c>
      <c r="E226">
        <v>946968</v>
      </c>
      <c r="F226">
        <v>36743</v>
      </c>
      <c r="G226">
        <v>3.8800677530814127E-2</v>
      </c>
    </row>
    <row r="227" spans="1:7" x14ac:dyDescent="0.25">
      <c r="A227">
        <v>13</v>
      </c>
      <c r="B227">
        <v>2036</v>
      </c>
      <c r="C227" t="s">
        <v>67</v>
      </c>
      <c r="D227" t="s">
        <v>64</v>
      </c>
      <c r="E227">
        <v>1511581</v>
      </c>
      <c r="F227">
        <v>80732</v>
      </c>
      <c r="G227">
        <v>5.3408980398668683E-2</v>
      </c>
    </row>
    <row r="228" spans="1:7" x14ac:dyDescent="0.25">
      <c r="A228">
        <v>13</v>
      </c>
      <c r="B228">
        <v>2036</v>
      </c>
      <c r="C228" t="s">
        <v>67</v>
      </c>
      <c r="D228" t="s">
        <v>65</v>
      </c>
      <c r="E228">
        <v>1508190</v>
      </c>
      <c r="F228">
        <v>102744</v>
      </c>
      <c r="G228">
        <v>6.8124042726712158E-2</v>
      </c>
    </row>
    <row r="229" spans="1:7" x14ac:dyDescent="0.25">
      <c r="A229">
        <v>13</v>
      </c>
      <c r="B229">
        <v>2036</v>
      </c>
      <c r="C229" t="s">
        <v>67</v>
      </c>
      <c r="D229" t="s">
        <v>66</v>
      </c>
      <c r="E229">
        <v>2548219</v>
      </c>
      <c r="F229">
        <v>288243</v>
      </c>
      <c r="G229">
        <v>0.1131154739839865</v>
      </c>
    </row>
    <row r="230" spans="1:7" x14ac:dyDescent="0.25">
      <c r="A230">
        <v>13</v>
      </c>
      <c r="B230">
        <v>2036</v>
      </c>
      <c r="C230" t="s">
        <v>68</v>
      </c>
      <c r="D230" t="s">
        <v>61</v>
      </c>
      <c r="E230">
        <v>115875</v>
      </c>
      <c r="F230">
        <v>1197</v>
      </c>
      <c r="G230">
        <v>1.0330097087378641E-2</v>
      </c>
    </row>
    <row r="231" spans="1:7" x14ac:dyDescent="0.25">
      <c r="A231">
        <v>13</v>
      </c>
      <c r="B231">
        <v>2036</v>
      </c>
      <c r="C231" t="s">
        <v>68</v>
      </c>
      <c r="D231" t="s">
        <v>62</v>
      </c>
      <c r="E231">
        <v>304274</v>
      </c>
      <c r="F231">
        <v>6647</v>
      </c>
      <c r="G231">
        <v>2.1845441937201341E-2</v>
      </c>
    </row>
    <row r="232" spans="1:7" x14ac:dyDescent="0.25">
      <c r="A232">
        <v>13</v>
      </c>
      <c r="B232">
        <v>2036</v>
      </c>
      <c r="C232" t="s">
        <v>68</v>
      </c>
      <c r="D232" t="s">
        <v>63</v>
      </c>
      <c r="E232">
        <v>827685</v>
      </c>
      <c r="F232">
        <v>32868</v>
      </c>
      <c r="G232">
        <v>3.9710759528081327E-2</v>
      </c>
    </row>
    <row r="233" spans="1:7" x14ac:dyDescent="0.25">
      <c r="A233">
        <v>13</v>
      </c>
      <c r="B233">
        <v>2036</v>
      </c>
      <c r="C233" t="s">
        <v>68</v>
      </c>
      <c r="D233" t="s">
        <v>64</v>
      </c>
      <c r="E233">
        <v>1330954</v>
      </c>
      <c r="F233">
        <v>71859</v>
      </c>
      <c r="G233">
        <v>5.3990596218952719E-2</v>
      </c>
    </row>
    <row r="234" spans="1:7" x14ac:dyDescent="0.25">
      <c r="A234">
        <v>13</v>
      </c>
      <c r="B234">
        <v>2036</v>
      </c>
      <c r="C234" t="s">
        <v>68</v>
      </c>
      <c r="D234" t="s">
        <v>65</v>
      </c>
      <c r="E234">
        <v>1291247</v>
      </c>
      <c r="F234">
        <v>88252</v>
      </c>
      <c r="G234">
        <v>6.8346334976964129E-2</v>
      </c>
    </row>
    <row r="235" spans="1:7" x14ac:dyDescent="0.25">
      <c r="A235">
        <v>13</v>
      </c>
      <c r="B235">
        <v>2036</v>
      </c>
      <c r="C235" t="s">
        <v>68</v>
      </c>
      <c r="D235" t="s">
        <v>66</v>
      </c>
      <c r="E235">
        <v>1911220</v>
      </c>
      <c r="F235">
        <v>202880</v>
      </c>
      <c r="G235">
        <v>0.106152091334331</v>
      </c>
    </row>
    <row r="236" spans="1:7" x14ac:dyDescent="0.25">
      <c r="A236">
        <v>14</v>
      </c>
      <c r="B236">
        <v>2037</v>
      </c>
      <c r="C236" t="s">
        <v>60</v>
      </c>
      <c r="D236" t="s">
        <v>61</v>
      </c>
      <c r="E236">
        <v>247693</v>
      </c>
      <c r="F236">
        <v>2495</v>
      </c>
      <c r="G236">
        <v>1.007295321224258E-2</v>
      </c>
    </row>
    <row r="237" spans="1:7" x14ac:dyDescent="0.25">
      <c r="A237">
        <v>14</v>
      </c>
      <c r="B237">
        <v>2037</v>
      </c>
      <c r="C237" t="s">
        <v>60</v>
      </c>
      <c r="D237" t="s">
        <v>62</v>
      </c>
      <c r="E237">
        <v>661755</v>
      </c>
      <c r="F237">
        <v>14324</v>
      </c>
      <c r="G237">
        <v>2.1645473022493221E-2</v>
      </c>
    </row>
    <row r="238" spans="1:7" x14ac:dyDescent="0.25">
      <c r="A238">
        <v>14</v>
      </c>
      <c r="B238">
        <v>2037</v>
      </c>
      <c r="C238" t="s">
        <v>60</v>
      </c>
      <c r="D238" t="s">
        <v>63</v>
      </c>
      <c r="E238">
        <v>1496493</v>
      </c>
      <c r="F238">
        <v>54267</v>
      </c>
      <c r="G238">
        <v>3.6262782385216637E-2</v>
      </c>
    </row>
    <row r="239" spans="1:7" x14ac:dyDescent="0.25">
      <c r="A239">
        <v>14</v>
      </c>
      <c r="B239">
        <v>2037</v>
      </c>
      <c r="C239" t="s">
        <v>60</v>
      </c>
      <c r="D239" t="s">
        <v>64</v>
      </c>
      <c r="E239">
        <v>2904364</v>
      </c>
      <c r="F239">
        <v>156980</v>
      </c>
      <c r="G239">
        <v>5.4049699004670222E-2</v>
      </c>
    </row>
    <row r="240" spans="1:7" x14ac:dyDescent="0.25">
      <c r="A240">
        <v>14</v>
      </c>
      <c r="B240">
        <v>2037</v>
      </c>
      <c r="C240" t="s">
        <v>60</v>
      </c>
      <c r="D240" t="s">
        <v>65</v>
      </c>
      <c r="E240">
        <v>2855702</v>
      </c>
      <c r="F240">
        <v>196327</v>
      </c>
      <c r="G240">
        <v>6.8749120181307438E-2</v>
      </c>
    </row>
    <row r="241" spans="1:7" x14ac:dyDescent="0.25">
      <c r="A241">
        <v>14</v>
      </c>
      <c r="B241">
        <v>2037</v>
      </c>
      <c r="C241" t="s">
        <v>60</v>
      </c>
      <c r="D241" t="s">
        <v>66</v>
      </c>
      <c r="E241">
        <v>4843167</v>
      </c>
      <c r="F241">
        <v>535758</v>
      </c>
      <c r="G241">
        <v>0.1106214177623856</v>
      </c>
    </row>
    <row r="242" spans="1:7" x14ac:dyDescent="0.25">
      <c r="A242">
        <v>14</v>
      </c>
      <c r="B242">
        <v>2037</v>
      </c>
      <c r="C242" t="s">
        <v>67</v>
      </c>
      <c r="D242" t="s">
        <v>61</v>
      </c>
      <c r="E242">
        <v>134354</v>
      </c>
      <c r="F242">
        <v>1318</v>
      </c>
      <c r="G242">
        <v>9.8099051758786492E-3</v>
      </c>
    </row>
    <row r="243" spans="1:7" x14ac:dyDescent="0.25">
      <c r="A243">
        <v>14</v>
      </c>
      <c r="B243">
        <v>2037</v>
      </c>
      <c r="C243" t="s">
        <v>67</v>
      </c>
      <c r="D243" t="s">
        <v>62</v>
      </c>
      <c r="E243">
        <v>358805</v>
      </c>
      <c r="F243">
        <v>7688</v>
      </c>
      <c r="G243">
        <v>2.1426680230208609E-2</v>
      </c>
    </row>
    <row r="244" spans="1:7" x14ac:dyDescent="0.25">
      <c r="A244">
        <v>14</v>
      </c>
      <c r="B244">
        <v>2037</v>
      </c>
      <c r="C244" t="s">
        <v>67</v>
      </c>
      <c r="D244" t="s">
        <v>63</v>
      </c>
      <c r="E244">
        <v>804764</v>
      </c>
      <c r="F244">
        <v>28876</v>
      </c>
      <c r="G244">
        <v>3.5881326699504452E-2</v>
      </c>
    </row>
    <row r="245" spans="1:7" x14ac:dyDescent="0.25">
      <c r="A245">
        <v>14</v>
      </c>
      <c r="B245">
        <v>2037</v>
      </c>
      <c r="C245" t="s">
        <v>67</v>
      </c>
      <c r="D245" t="s">
        <v>64</v>
      </c>
      <c r="E245">
        <v>1546603</v>
      </c>
      <c r="F245">
        <v>83048</v>
      </c>
      <c r="G245">
        <v>5.3697037959967747E-2</v>
      </c>
    </row>
    <row r="246" spans="1:7" x14ac:dyDescent="0.25">
      <c r="A246">
        <v>14</v>
      </c>
      <c r="B246">
        <v>2037</v>
      </c>
      <c r="C246" t="s">
        <v>67</v>
      </c>
      <c r="D246" t="s">
        <v>65</v>
      </c>
      <c r="E246">
        <v>1539878</v>
      </c>
      <c r="F246">
        <v>105940</v>
      </c>
      <c r="G246">
        <v>6.8797657996282818E-2</v>
      </c>
    </row>
    <row r="247" spans="1:7" x14ac:dyDescent="0.25">
      <c r="A247">
        <v>14</v>
      </c>
      <c r="B247">
        <v>2037</v>
      </c>
      <c r="C247" t="s">
        <v>67</v>
      </c>
      <c r="D247" t="s">
        <v>66</v>
      </c>
      <c r="E247">
        <v>2796579</v>
      </c>
      <c r="F247">
        <v>318720</v>
      </c>
      <c r="G247">
        <v>0.1139678156776547</v>
      </c>
    </row>
    <row r="248" spans="1:7" x14ac:dyDescent="0.25">
      <c r="A248">
        <v>14</v>
      </c>
      <c r="B248">
        <v>2037</v>
      </c>
      <c r="C248" t="s">
        <v>68</v>
      </c>
      <c r="D248" t="s">
        <v>61</v>
      </c>
      <c r="E248">
        <v>113339</v>
      </c>
      <c r="F248">
        <v>1177</v>
      </c>
      <c r="G248">
        <v>1.0384774878903109E-2</v>
      </c>
    </row>
    <row r="249" spans="1:7" x14ac:dyDescent="0.25">
      <c r="A249">
        <v>14</v>
      </c>
      <c r="B249">
        <v>2037</v>
      </c>
      <c r="C249" t="s">
        <v>68</v>
      </c>
      <c r="D249" t="s">
        <v>62</v>
      </c>
      <c r="E249">
        <v>302950</v>
      </c>
      <c r="F249">
        <v>6636</v>
      </c>
      <c r="G249">
        <v>2.190460472025087E-2</v>
      </c>
    </row>
    <row r="250" spans="1:7" x14ac:dyDescent="0.25">
      <c r="A250">
        <v>14</v>
      </c>
      <c r="B250">
        <v>2037</v>
      </c>
      <c r="C250" t="s">
        <v>68</v>
      </c>
      <c r="D250" t="s">
        <v>63</v>
      </c>
      <c r="E250">
        <v>691729</v>
      </c>
      <c r="F250">
        <v>25391</v>
      </c>
      <c r="G250">
        <v>3.6706571504158417E-2</v>
      </c>
    </row>
    <row r="251" spans="1:7" x14ac:dyDescent="0.25">
      <c r="A251">
        <v>14</v>
      </c>
      <c r="B251">
        <v>2037</v>
      </c>
      <c r="C251" t="s">
        <v>68</v>
      </c>
      <c r="D251" t="s">
        <v>64</v>
      </c>
      <c r="E251">
        <v>1357761</v>
      </c>
      <c r="F251">
        <v>73932</v>
      </c>
      <c r="G251">
        <v>5.4451409342292201E-2</v>
      </c>
    </row>
    <row r="252" spans="1:7" x14ac:dyDescent="0.25">
      <c r="A252">
        <v>14</v>
      </c>
      <c r="B252">
        <v>2037</v>
      </c>
      <c r="C252" t="s">
        <v>68</v>
      </c>
      <c r="D252" t="s">
        <v>65</v>
      </c>
      <c r="E252">
        <v>1315824</v>
      </c>
      <c r="F252">
        <v>90387</v>
      </c>
      <c r="G252">
        <v>6.8692317513588438E-2</v>
      </c>
    </row>
    <row r="253" spans="1:7" x14ac:dyDescent="0.25">
      <c r="A253">
        <v>14</v>
      </c>
      <c r="B253">
        <v>2037</v>
      </c>
      <c r="C253" t="s">
        <v>68</v>
      </c>
      <c r="D253" t="s">
        <v>66</v>
      </c>
      <c r="E253">
        <v>2046588</v>
      </c>
      <c r="F253">
        <v>217038</v>
      </c>
      <c r="G253">
        <v>0.1060487015461832</v>
      </c>
    </row>
    <row r="254" spans="1:7" x14ac:dyDescent="0.25">
      <c r="A254">
        <v>15</v>
      </c>
      <c r="B254">
        <v>2038</v>
      </c>
      <c r="C254" t="s">
        <v>60</v>
      </c>
      <c r="D254" t="s">
        <v>61</v>
      </c>
      <c r="E254">
        <v>243097</v>
      </c>
      <c r="F254">
        <v>2429</v>
      </c>
      <c r="G254">
        <v>9.9918962389498843E-3</v>
      </c>
    </row>
    <row r="255" spans="1:7" x14ac:dyDescent="0.25">
      <c r="A255">
        <v>15</v>
      </c>
      <c r="B255">
        <v>2038</v>
      </c>
      <c r="C255" t="s">
        <v>60</v>
      </c>
      <c r="D255" t="s">
        <v>62</v>
      </c>
      <c r="E255">
        <v>657395</v>
      </c>
      <c r="F255">
        <v>14256</v>
      </c>
      <c r="G255">
        <v>2.1685592375968791E-2</v>
      </c>
    </row>
    <row r="256" spans="1:7" x14ac:dyDescent="0.25">
      <c r="A256">
        <v>15</v>
      </c>
      <c r="B256">
        <v>2038</v>
      </c>
      <c r="C256" t="s">
        <v>60</v>
      </c>
      <c r="D256" t="s">
        <v>63</v>
      </c>
      <c r="E256">
        <v>1209667</v>
      </c>
      <c r="F256">
        <v>37957</v>
      </c>
      <c r="G256">
        <v>3.137805693633041E-2</v>
      </c>
    </row>
    <row r="257" spans="1:7" x14ac:dyDescent="0.25">
      <c r="A257">
        <v>15</v>
      </c>
      <c r="B257">
        <v>2038</v>
      </c>
      <c r="C257" t="s">
        <v>60</v>
      </c>
      <c r="D257" t="s">
        <v>64</v>
      </c>
      <c r="E257">
        <v>2974014</v>
      </c>
      <c r="F257">
        <v>161044</v>
      </c>
      <c r="G257">
        <v>5.4150383959187823E-2</v>
      </c>
    </row>
    <row r="258" spans="1:7" x14ac:dyDescent="0.25">
      <c r="A258">
        <v>15</v>
      </c>
      <c r="B258">
        <v>2038</v>
      </c>
      <c r="C258" t="s">
        <v>60</v>
      </c>
      <c r="D258" t="s">
        <v>65</v>
      </c>
      <c r="E258">
        <v>2899701</v>
      </c>
      <c r="F258">
        <v>200773</v>
      </c>
      <c r="G258">
        <v>6.9239207766593869E-2</v>
      </c>
    </row>
    <row r="259" spans="1:7" x14ac:dyDescent="0.25">
      <c r="A259">
        <v>15</v>
      </c>
      <c r="B259">
        <v>2038</v>
      </c>
      <c r="C259" t="s">
        <v>60</v>
      </c>
      <c r="D259" t="s">
        <v>66</v>
      </c>
      <c r="E259">
        <v>5133530</v>
      </c>
      <c r="F259">
        <v>568341</v>
      </c>
      <c r="G259">
        <v>0.1107115376748553</v>
      </c>
    </row>
    <row r="260" spans="1:7" x14ac:dyDescent="0.25">
      <c r="A260">
        <v>15</v>
      </c>
      <c r="B260">
        <v>2038</v>
      </c>
      <c r="C260" t="s">
        <v>67</v>
      </c>
      <c r="D260" t="s">
        <v>61</v>
      </c>
      <c r="E260">
        <v>131929</v>
      </c>
      <c r="F260">
        <v>1279</v>
      </c>
      <c r="G260">
        <v>9.6946084636433238E-3</v>
      </c>
    </row>
    <row r="261" spans="1:7" x14ac:dyDescent="0.25">
      <c r="A261">
        <v>15</v>
      </c>
      <c r="B261">
        <v>2038</v>
      </c>
      <c r="C261" t="s">
        <v>67</v>
      </c>
      <c r="D261" t="s">
        <v>62</v>
      </c>
      <c r="E261">
        <v>356803</v>
      </c>
      <c r="F261">
        <v>7659</v>
      </c>
      <c r="G261">
        <v>2.146562669035855E-2</v>
      </c>
    </row>
    <row r="262" spans="1:7" x14ac:dyDescent="0.25">
      <c r="A262">
        <v>15</v>
      </c>
      <c r="B262">
        <v>2038</v>
      </c>
      <c r="C262" t="s">
        <v>67</v>
      </c>
      <c r="D262" t="s">
        <v>63</v>
      </c>
      <c r="E262">
        <v>656722</v>
      </c>
      <c r="F262">
        <v>20500</v>
      </c>
      <c r="G262">
        <v>3.1215643757937148E-2</v>
      </c>
    </row>
    <row r="263" spans="1:7" x14ac:dyDescent="0.25">
      <c r="A263">
        <v>15</v>
      </c>
      <c r="B263">
        <v>2038</v>
      </c>
      <c r="C263" t="s">
        <v>67</v>
      </c>
      <c r="D263" t="s">
        <v>64</v>
      </c>
      <c r="E263">
        <v>1585601</v>
      </c>
      <c r="F263">
        <v>85345</v>
      </c>
      <c r="G263">
        <v>5.3825016507936113E-2</v>
      </c>
    </row>
    <row r="264" spans="1:7" x14ac:dyDescent="0.25">
      <c r="A264">
        <v>15</v>
      </c>
      <c r="B264">
        <v>2038</v>
      </c>
      <c r="C264" t="s">
        <v>67</v>
      </c>
      <c r="D264" t="s">
        <v>65</v>
      </c>
      <c r="E264">
        <v>1564628</v>
      </c>
      <c r="F264">
        <v>108281</v>
      </c>
      <c r="G264">
        <v>6.9205587526236262E-2</v>
      </c>
    </row>
    <row r="265" spans="1:7" x14ac:dyDescent="0.25">
      <c r="A265">
        <v>15</v>
      </c>
      <c r="B265">
        <v>2038</v>
      </c>
      <c r="C265" t="s">
        <v>67</v>
      </c>
      <c r="D265" t="s">
        <v>66</v>
      </c>
      <c r="E265">
        <v>2950959</v>
      </c>
      <c r="F265">
        <v>335843</v>
      </c>
      <c r="G265">
        <v>0.11380808747258089</v>
      </c>
    </row>
    <row r="266" spans="1:7" x14ac:dyDescent="0.25">
      <c r="A266">
        <v>15</v>
      </c>
      <c r="B266">
        <v>2038</v>
      </c>
      <c r="C266" t="s">
        <v>68</v>
      </c>
      <c r="D266" t="s">
        <v>61</v>
      </c>
      <c r="E266">
        <v>111168</v>
      </c>
      <c r="F266">
        <v>1150</v>
      </c>
      <c r="G266">
        <v>1.034470351180196E-2</v>
      </c>
    </row>
    <row r="267" spans="1:7" x14ac:dyDescent="0.25">
      <c r="A267">
        <v>15</v>
      </c>
      <c r="B267">
        <v>2038</v>
      </c>
      <c r="C267" t="s">
        <v>68</v>
      </c>
      <c r="D267" t="s">
        <v>62</v>
      </c>
      <c r="E267">
        <v>300592</v>
      </c>
      <c r="F267">
        <v>6597</v>
      </c>
      <c r="G267">
        <v>2.194669186139352E-2</v>
      </c>
    </row>
    <row r="268" spans="1:7" x14ac:dyDescent="0.25">
      <c r="A268">
        <v>15</v>
      </c>
      <c r="B268">
        <v>2038</v>
      </c>
      <c r="C268" t="s">
        <v>68</v>
      </c>
      <c r="D268" t="s">
        <v>63</v>
      </c>
      <c r="E268">
        <v>552945</v>
      </c>
      <c r="F268">
        <v>17457</v>
      </c>
      <c r="G268">
        <v>3.157095190299216E-2</v>
      </c>
    </row>
    <row r="269" spans="1:7" x14ac:dyDescent="0.25">
      <c r="A269">
        <v>15</v>
      </c>
      <c r="B269">
        <v>2038</v>
      </c>
      <c r="C269" t="s">
        <v>68</v>
      </c>
      <c r="D269" t="s">
        <v>64</v>
      </c>
      <c r="E269">
        <v>1388413</v>
      </c>
      <c r="F269">
        <v>75699</v>
      </c>
      <c r="G269">
        <v>5.4521961404855761E-2</v>
      </c>
    </row>
    <row r="270" spans="1:7" x14ac:dyDescent="0.25">
      <c r="A270">
        <v>15</v>
      </c>
      <c r="B270">
        <v>2038</v>
      </c>
      <c r="C270" t="s">
        <v>68</v>
      </c>
      <c r="D270" t="s">
        <v>65</v>
      </c>
      <c r="E270">
        <v>1335073</v>
      </c>
      <c r="F270">
        <v>92492</v>
      </c>
      <c r="G270">
        <v>6.9278608735252684E-2</v>
      </c>
    </row>
    <row r="271" spans="1:7" x14ac:dyDescent="0.25">
      <c r="A271">
        <v>15</v>
      </c>
      <c r="B271">
        <v>2038</v>
      </c>
      <c r="C271" t="s">
        <v>68</v>
      </c>
      <c r="D271" t="s">
        <v>66</v>
      </c>
      <c r="E271">
        <v>2182571</v>
      </c>
      <c r="F271">
        <v>232498</v>
      </c>
      <c r="G271">
        <v>0.1065248278291978</v>
      </c>
    </row>
    <row r="272" spans="1:7" x14ac:dyDescent="0.25">
      <c r="A272">
        <v>16</v>
      </c>
      <c r="B272">
        <v>2039</v>
      </c>
      <c r="C272" t="s">
        <v>60</v>
      </c>
      <c r="D272" t="s">
        <v>61</v>
      </c>
      <c r="E272">
        <v>238633</v>
      </c>
      <c r="F272">
        <v>2347</v>
      </c>
      <c r="G272">
        <v>9.835186248339501E-3</v>
      </c>
    </row>
    <row r="273" spans="1:7" x14ac:dyDescent="0.25">
      <c r="A273">
        <v>16</v>
      </c>
      <c r="B273">
        <v>2039</v>
      </c>
      <c r="C273" t="s">
        <v>60</v>
      </c>
      <c r="D273" t="s">
        <v>62</v>
      </c>
      <c r="E273">
        <v>650492</v>
      </c>
      <c r="F273">
        <v>13960</v>
      </c>
      <c r="G273">
        <v>2.146067899374627E-2</v>
      </c>
    </row>
    <row r="274" spans="1:7" x14ac:dyDescent="0.25">
      <c r="A274">
        <v>16</v>
      </c>
      <c r="B274">
        <v>2039</v>
      </c>
      <c r="C274" t="s">
        <v>60</v>
      </c>
      <c r="D274" t="s">
        <v>63</v>
      </c>
      <c r="E274">
        <v>1224428</v>
      </c>
      <c r="F274">
        <v>38468</v>
      </c>
      <c r="G274">
        <v>3.1417118850598003E-2</v>
      </c>
    </row>
    <row r="275" spans="1:7" x14ac:dyDescent="0.25">
      <c r="A275">
        <v>16</v>
      </c>
      <c r="B275">
        <v>2039</v>
      </c>
      <c r="C275" t="s">
        <v>60</v>
      </c>
      <c r="D275" t="s">
        <v>64</v>
      </c>
      <c r="E275">
        <v>2743657</v>
      </c>
      <c r="F275">
        <v>147760</v>
      </c>
      <c r="G275">
        <v>5.3855128392506793E-2</v>
      </c>
    </row>
    <row r="276" spans="1:7" x14ac:dyDescent="0.25">
      <c r="A276">
        <v>16</v>
      </c>
      <c r="B276">
        <v>2039</v>
      </c>
      <c r="C276" t="s">
        <v>60</v>
      </c>
      <c r="D276" t="s">
        <v>65</v>
      </c>
      <c r="E276">
        <v>2932930</v>
      </c>
      <c r="F276">
        <v>204462</v>
      </c>
      <c r="G276">
        <v>6.9712540019707253E-2</v>
      </c>
    </row>
    <row r="277" spans="1:7" x14ac:dyDescent="0.25">
      <c r="A277">
        <v>16</v>
      </c>
      <c r="B277">
        <v>2039</v>
      </c>
      <c r="C277" t="s">
        <v>60</v>
      </c>
      <c r="D277" t="s">
        <v>66</v>
      </c>
      <c r="E277">
        <v>5428593</v>
      </c>
      <c r="F277">
        <v>603209</v>
      </c>
      <c r="G277">
        <v>0.11111700582452951</v>
      </c>
    </row>
    <row r="278" spans="1:7" x14ac:dyDescent="0.25">
      <c r="A278">
        <v>16</v>
      </c>
      <c r="B278">
        <v>2039</v>
      </c>
      <c r="C278" t="s">
        <v>67</v>
      </c>
      <c r="D278" t="s">
        <v>61</v>
      </c>
      <c r="E278">
        <v>128929</v>
      </c>
      <c r="F278">
        <v>1235</v>
      </c>
      <c r="G278">
        <v>9.578915527150603E-3</v>
      </c>
    </row>
    <row r="279" spans="1:7" x14ac:dyDescent="0.25">
      <c r="A279">
        <v>16</v>
      </c>
      <c r="B279">
        <v>2039</v>
      </c>
      <c r="C279" t="s">
        <v>67</v>
      </c>
      <c r="D279" t="s">
        <v>62</v>
      </c>
      <c r="E279">
        <v>353436</v>
      </c>
      <c r="F279">
        <v>7503</v>
      </c>
      <c r="G279">
        <v>2.1228737310290971E-2</v>
      </c>
    </row>
    <row r="280" spans="1:7" x14ac:dyDescent="0.25">
      <c r="A280">
        <v>16</v>
      </c>
      <c r="B280">
        <v>2039</v>
      </c>
      <c r="C280" t="s">
        <v>67</v>
      </c>
      <c r="D280" t="s">
        <v>63</v>
      </c>
      <c r="E280">
        <v>664821</v>
      </c>
      <c r="F280">
        <v>20767</v>
      </c>
      <c r="G280">
        <v>3.123697957796159E-2</v>
      </c>
    </row>
    <row r="281" spans="1:7" x14ac:dyDescent="0.25">
      <c r="A281">
        <v>16</v>
      </c>
      <c r="B281">
        <v>2039</v>
      </c>
      <c r="C281" t="s">
        <v>67</v>
      </c>
      <c r="D281" t="s">
        <v>64</v>
      </c>
      <c r="E281">
        <v>1469134</v>
      </c>
      <c r="F281">
        <v>78725</v>
      </c>
      <c r="G281">
        <v>5.3585990113903838E-2</v>
      </c>
    </row>
    <row r="282" spans="1:7" x14ac:dyDescent="0.25">
      <c r="A282">
        <v>16</v>
      </c>
      <c r="B282">
        <v>2039</v>
      </c>
      <c r="C282" t="s">
        <v>67</v>
      </c>
      <c r="D282" t="s">
        <v>65</v>
      </c>
      <c r="E282">
        <v>1583353</v>
      </c>
      <c r="F282">
        <v>110311</v>
      </c>
      <c r="G282">
        <v>6.966923989786232E-2</v>
      </c>
    </row>
    <row r="283" spans="1:7" x14ac:dyDescent="0.25">
      <c r="A283">
        <v>16</v>
      </c>
      <c r="B283">
        <v>2039</v>
      </c>
      <c r="C283" t="s">
        <v>67</v>
      </c>
      <c r="D283" t="s">
        <v>66</v>
      </c>
      <c r="E283">
        <v>3109047</v>
      </c>
      <c r="F283">
        <v>354409</v>
      </c>
      <c r="G283">
        <v>0.1139928087288484</v>
      </c>
    </row>
    <row r="284" spans="1:7" x14ac:dyDescent="0.25">
      <c r="A284">
        <v>16</v>
      </c>
      <c r="B284">
        <v>2039</v>
      </c>
      <c r="C284" t="s">
        <v>68</v>
      </c>
      <c r="D284" t="s">
        <v>61</v>
      </c>
      <c r="E284">
        <v>109704</v>
      </c>
      <c r="F284">
        <v>1112</v>
      </c>
      <c r="G284">
        <v>1.0136366951068331E-2</v>
      </c>
    </row>
    <row r="285" spans="1:7" x14ac:dyDescent="0.25">
      <c r="A285">
        <v>16</v>
      </c>
      <c r="B285">
        <v>2039</v>
      </c>
      <c r="C285" t="s">
        <v>68</v>
      </c>
      <c r="D285" t="s">
        <v>62</v>
      </c>
      <c r="E285">
        <v>297056</v>
      </c>
      <c r="F285">
        <v>6457</v>
      </c>
      <c r="G285">
        <v>2.173664224927286E-2</v>
      </c>
    </row>
    <row r="286" spans="1:7" x14ac:dyDescent="0.25">
      <c r="A286">
        <v>16</v>
      </c>
      <c r="B286">
        <v>2039</v>
      </c>
      <c r="C286" t="s">
        <v>68</v>
      </c>
      <c r="D286" t="s">
        <v>63</v>
      </c>
      <c r="E286">
        <v>559607</v>
      </c>
      <c r="F286">
        <v>17701</v>
      </c>
      <c r="G286">
        <v>3.1631126844374712E-2</v>
      </c>
    </row>
    <row r="287" spans="1:7" x14ac:dyDescent="0.25">
      <c r="A287">
        <v>16</v>
      </c>
      <c r="B287">
        <v>2039</v>
      </c>
      <c r="C287" t="s">
        <v>68</v>
      </c>
      <c r="D287" t="s">
        <v>64</v>
      </c>
      <c r="E287">
        <v>1274523</v>
      </c>
      <c r="F287">
        <v>69035</v>
      </c>
      <c r="G287">
        <v>5.4165362257095402E-2</v>
      </c>
    </row>
    <row r="288" spans="1:7" x14ac:dyDescent="0.25">
      <c r="A288">
        <v>16</v>
      </c>
      <c r="B288">
        <v>2039</v>
      </c>
      <c r="C288" t="s">
        <v>68</v>
      </c>
      <c r="D288" t="s">
        <v>65</v>
      </c>
      <c r="E288">
        <v>1349577</v>
      </c>
      <c r="F288">
        <v>94151</v>
      </c>
      <c r="G288">
        <v>6.9763340661555442E-2</v>
      </c>
    </row>
    <row r="289" spans="1:7" x14ac:dyDescent="0.25">
      <c r="A289">
        <v>16</v>
      </c>
      <c r="B289">
        <v>2039</v>
      </c>
      <c r="C289" t="s">
        <v>68</v>
      </c>
      <c r="D289" t="s">
        <v>66</v>
      </c>
      <c r="E289">
        <v>2319546</v>
      </c>
      <c r="F289">
        <v>248800</v>
      </c>
      <c r="G289">
        <v>0.1072623694464348</v>
      </c>
    </row>
    <row r="290" spans="1:7" x14ac:dyDescent="0.25">
      <c r="A290">
        <v>17</v>
      </c>
      <c r="B290">
        <v>2040</v>
      </c>
      <c r="C290" t="s">
        <v>60</v>
      </c>
      <c r="D290" t="s">
        <v>61</v>
      </c>
      <c r="E290">
        <v>233802</v>
      </c>
      <c r="F290">
        <v>2247</v>
      </c>
      <c r="G290">
        <v>9.6106962301434548E-3</v>
      </c>
    </row>
    <row r="291" spans="1:7" x14ac:dyDescent="0.25">
      <c r="A291">
        <v>17</v>
      </c>
      <c r="B291">
        <v>2040</v>
      </c>
      <c r="C291" t="s">
        <v>60</v>
      </c>
      <c r="D291" t="s">
        <v>62</v>
      </c>
      <c r="E291">
        <v>642527</v>
      </c>
      <c r="F291">
        <v>13874</v>
      </c>
      <c r="G291">
        <v>2.1592866914542111E-2</v>
      </c>
    </row>
    <row r="292" spans="1:7" x14ac:dyDescent="0.25">
      <c r="A292">
        <v>17</v>
      </c>
      <c r="B292">
        <v>2040</v>
      </c>
      <c r="C292" t="s">
        <v>60</v>
      </c>
      <c r="D292" t="s">
        <v>63</v>
      </c>
      <c r="E292">
        <v>1237670</v>
      </c>
      <c r="F292">
        <v>38906</v>
      </c>
      <c r="G292">
        <v>3.143487359312256E-2</v>
      </c>
    </row>
    <row r="293" spans="1:7" x14ac:dyDescent="0.25">
      <c r="A293">
        <v>17</v>
      </c>
      <c r="B293">
        <v>2040</v>
      </c>
      <c r="C293" t="s">
        <v>60</v>
      </c>
      <c r="D293" t="s">
        <v>64</v>
      </c>
      <c r="E293">
        <v>2510470</v>
      </c>
      <c r="F293">
        <v>132707</v>
      </c>
      <c r="G293">
        <v>5.2861416388166362E-2</v>
      </c>
    </row>
    <row r="294" spans="1:7" x14ac:dyDescent="0.25">
      <c r="A294">
        <v>17</v>
      </c>
      <c r="B294">
        <v>2040</v>
      </c>
      <c r="C294" t="s">
        <v>60</v>
      </c>
      <c r="D294" t="s">
        <v>65</v>
      </c>
      <c r="E294">
        <v>2972941</v>
      </c>
      <c r="F294">
        <v>207957</v>
      </c>
      <c r="G294">
        <v>6.9949925006920752E-2</v>
      </c>
    </row>
    <row r="295" spans="1:7" x14ac:dyDescent="0.25">
      <c r="A295">
        <v>17</v>
      </c>
      <c r="B295">
        <v>2040</v>
      </c>
      <c r="C295" t="s">
        <v>60</v>
      </c>
      <c r="D295" t="s">
        <v>66</v>
      </c>
      <c r="E295">
        <v>5708809</v>
      </c>
      <c r="F295">
        <v>637760</v>
      </c>
      <c r="G295">
        <v>0.11171507051645969</v>
      </c>
    </row>
    <row r="296" spans="1:7" x14ac:dyDescent="0.25">
      <c r="A296">
        <v>17</v>
      </c>
      <c r="B296">
        <v>2040</v>
      </c>
      <c r="C296" t="s">
        <v>67</v>
      </c>
      <c r="D296" t="s">
        <v>61</v>
      </c>
      <c r="E296">
        <v>126166</v>
      </c>
      <c r="F296">
        <v>1169</v>
      </c>
      <c r="G296">
        <v>9.2655707559881426E-3</v>
      </c>
    </row>
    <row r="297" spans="1:7" x14ac:dyDescent="0.25">
      <c r="A297">
        <v>17</v>
      </c>
      <c r="B297">
        <v>2040</v>
      </c>
      <c r="C297" t="s">
        <v>67</v>
      </c>
      <c r="D297" t="s">
        <v>62</v>
      </c>
      <c r="E297">
        <v>348726</v>
      </c>
      <c r="F297">
        <v>7507</v>
      </c>
      <c r="G297">
        <v>2.1526929451775891E-2</v>
      </c>
    </row>
    <row r="298" spans="1:7" x14ac:dyDescent="0.25">
      <c r="A298">
        <v>17</v>
      </c>
      <c r="B298">
        <v>2040</v>
      </c>
      <c r="C298" t="s">
        <v>67</v>
      </c>
      <c r="D298" t="s">
        <v>63</v>
      </c>
      <c r="E298">
        <v>672488</v>
      </c>
      <c r="F298">
        <v>21073</v>
      </c>
      <c r="G298">
        <v>3.1335875138292432E-2</v>
      </c>
    </row>
    <row r="299" spans="1:7" x14ac:dyDescent="0.25">
      <c r="A299">
        <v>17</v>
      </c>
      <c r="B299">
        <v>2040</v>
      </c>
      <c r="C299" t="s">
        <v>67</v>
      </c>
      <c r="D299" t="s">
        <v>64</v>
      </c>
      <c r="E299">
        <v>1350210</v>
      </c>
      <c r="F299">
        <v>71144</v>
      </c>
      <c r="G299">
        <v>5.2691062871701437E-2</v>
      </c>
    </row>
    <row r="300" spans="1:7" x14ac:dyDescent="0.25">
      <c r="A300">
        <v>17</v>
      </c>
      <c r="B300">
        <v>2040</v>
      </c>
      <c r="C300" t="s">
        <v>67</v>
      </c>
      <c r="D300" t="s">
        <v>65</v>
      </c>
      <c r="E300">
        <v>1605915</v>
      </c>
      <c r="F300">
        <v>112016</v>
      </c>
      <c r="G300">
        <v>6.9752135075642235E-2</v>
      </c>
    </row>
    <row r="301" spans="1:7" x14ac:dyDescent="0.25">
      <c r="A301">
        <v>17</v>
      </c>
      <c r="B301">
        <v>2040</v>
      </c>
      <c r="C301" t="s">
        <v>67</v>
      </c>
      <c r="D301" t="s">
        <v>66</v>
      </c>
      <c r="E301">
        <v>3259038</v>
      </c>
      <c r="F301">
        <v>373170</v>
      </c>
      <c r="G301">
        <v>0.1145031141091328</v>
      </c>
    </row>
    <row r="302" spans="1:7" x14ac:dyDescent="0.25">
      <c r="A302">
        <v>17</v>
      </c>
      <c r="B302">
        <v>2040</v>
      </c>
      <c r="C302" t="s">
        <v>68</v>
      </c>
      <c r="D302" t="s">
        <v>61</v>
      </c>
      <c r="E302">
        <v>107636</v>
      </c>
      <c r="F302">
        <v>1078</v>
      </c>
      <c r="G302">
        <v>1.001523653796128E-2</v>
      </c>
    </row>
    <row r="303" spans="1:7" x14ac:dyDescent="0.25">
      <c r="A303">
        <v>17</v>
      </c>
      <c r="B303">
        <v>2040</v>
      </c>
      <c r="C303" t="s">
        <v>68</v>
      </c>
      <c r="D303" t="s">
        <v>62</v>
      </c>
      <c r="E303">
        <v>293801</v>
      </c>
      <c r="F303">
        <v>6367</v>
      </c>
      <c r="G303">
        <v>2.1671131139785089E-2</v>
      </c>
    </row>
    <row r="304" spans="1:7" x14ac:dyDescent="0.25">
      <c r="A304">
        <v>17</v>
      </c>
      <c r="B304">
        <v>2040</v>
      </c>
      <c r="C304" t="s">
        <v>68</v>
      </c>
      <c r="D304" t="s">
        <v>63</v>
      </c>
      <c r="E304">
        <v>565182</v>
      </c>
      <c r="F304">
        <v>17833</v>
      </c>
      <c r="G304">
        <v>3.1552667990134148E-2</v>
      </c>
    </row>
    <row r="305" spans="1:7" x14ac:dyDescent="0.25">
      <c r="A305">
        <v>17</v>
      </c>
      <c r="B305">
        <v>2040</v>
      </c>
      <c r="C305" t="s">
        <v>68</v>
      </c>
      <c r="D305" t="s">
        <v>64</v>
      </c>
      <c r="E305">
        <v>1160260</v>
      </c>
      <c r="F305">
        <v>61563</v>
      </c>
      <c r="G305">
        <v>5.3059659041938878E-2</v>
      </c>
    </row>
    <row r="306" spans="1:7" x14ac:dyDescent="0.25">
      <c r="A306">
        <v>17</v>
      </c>
      <c r="B306">
        <v>2040</v>
      </c>
      <c r="C306" t="s">
        <v>68</v>
      </c>
      <c r="D306" t="s">
        <v>65</v>
      </c>
      <c r="E306">
        <v>1367026</v>
      </c>
      <c r="F306">
        <v>95941</v>
      </c>
      <c r="G306">
        <v>7.0182278903254222E-2</v>
      </c>
    </row>
    <row r="307" spans="1:7" x14ac:dyDescent="0.25">
      <c r="A307">
        <v>17</v>
      </c>
      <c r="B307">
        <v>2040</v>
      </c>
      <c r="C307" t="s">
        <v>68</v>
      </c>
      <c r="D307" t="s">
        <v>66</v>
      </c>
      <c r="E307">
        <v>2449771</v>
      </c>
      <c r="F307">
        <v>264590</v>
      </c>
      <c r="G307">
        <v>0.1080060136233142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25">
      <c r="A2">
        <v>0</v>
      </c>
      <c r="B2">
        <v>2023</v>
      </c>
      <c r="C2">
        <v>80.979452289084406</v>
      </c>
      <c r="D2">
        <v>87.567467528097453</v>
      </c>
    </row>
    <row r="3" spans="1:4" x14ac:dyDescent="0.25">
      <c r="A3">
        <v>1</v>
      </c>
      <c r="B3">
        <v>2024</v>
      </c>
      <c r="C3">
        <v>81.516015194773374</v>
      </c>
      <c r="D3">
        <v>87.960728773254999</v>
      </c>
    </row>
    <row r="4" spans="1:4" x14ac:dyDescent="0.25">
      <c r="A4">
        <v>2</v>
      </c>
      <c r="B4">
        <v>2025</v>
      </c>
      <c r="C4">
        <v>82.013937655137426</v>
      </c>
      <c r="D4">
        <v>88.29771839308971</v>
      </c>
    </row>
    <row r="5" spans="1:4" x14ac:dyDescent="0.25">
      <c r="A5">
        <v>3</v>
      </c>
      <c r="B5">
        <v>2026</v>
      </c>
      <c r="C5">
        <v>82.482077743886478</v>
      </c>
      <c r="D5">
        <v>88.575960615308375</v>
      </c>
    </row>
    <row r="6" spans="1:4" x14ac:dyDescent="0.25">
      <c r="A6">
        <v>4</v>
      </c>
      <c r="B6">
        <v>2027</v>
      </c>
      <c r="C6">
        <v>82.928479652928416</v>
      </c>
      <c r="D6">
        <v>88.806823821042514</v>
      </c>
    </row>
    <row r="7" spans="1:4" x14ac:dyDescent="0.25">
      <c r="A7">
        <v>5</v>
      </c>
      <c r="B7">
        <v>2028</v>
      </c>
      <c r="C7">
        <v>83.363694760844623</v>
      </c>
      <c r="D7">
        <v>89.011913775227256</v>
      </c>
    </row>
    <row r="8" spans="1:4" x14ac:dyDescent="0.25">
      <c r="A8">
        <v>6</v>
      </c>
      <c r="B8">
        <v>2029</v>
      </c>
      <c r="C8">
        <v>83.786842108602286</v>
      </c>
      <c r="D8">
        <v>89.202899269197474</v>
      </c>
    </row>
    <row r="9" spans="1:4" x14ac:dyDescent="0.25">
      <c r="A9">
        <v>7</v>
      </c>
      <c r="B9">
        <v>2030</v>
      </c>
      <c r="C9">
        <v>84.200196469468239</v>
      </c>
      <c r="D9">
        <v>89.400728474261868</v>
      </c>
    </row>
    <row r="10" spans="1:4" x14ac:dyDescent="0.25">
      <c r="A10">
        <v>8</v>
      </c>
      <c r="B10">
        <v>2031</v>
      </c>
      <c r="C10">
        <v>84.612950254540024</v>
      </c>
      <c r="D10">
        <v>89.603417428163169</v>
      </c>
    </row>
    <row r="11" spans="1:4" x14ac:dyDescent="0.25">
      <c r="A11">
        <v>9</v>
      </c>
      <c r="B11">
        <v>2032</v>
      </c>
      <c r="C11">
        <v>85.029413410401816</v>
      </c>
      <c r="D11">
        <v>89.852904981967612</v>
      </c>
    </row>
    <row r="12" spans="1:4" x14ac:dyDescent="0.25">
      <c r="A12">
        <v>10</v>
      </c>
      <c r="B12">
        <v>2033</v>
      </c>
      <c r="C12">
        <v>85.442475733271905</v>
      </c>
      <c r="D12">
        <v>90.122725498989496</v>
      </c>
    </row>
    <row r="13" spans="1:4" x14ac:dyDescent="0.25">
      <c r="A13">
        <v>11</v>
      </c>
      <c r="B13">
        <v>2034</v>
      </c>
      <c r="C13">
        <v>85.853938981500121</v>
      </c>
      <c r="D13">
        <v>90.422366774396323</v>
      </c>
    </row>
    <row r="14" spans="1:4" x14ac:dyDescent="0.25">
      <c r="A14">
        <v>12</v>
      </c>
      <c r="B14">
        <v>2035</v>
      </c>
      <c r="C14">
        <v>86.260521896062087</v>
      </c>
      <c r="D14">
        <v>90.753607121767516</v>
      </c>
    </row>
    <row r="15" spans="1:4" x14ac:dyDescent="0.25">
      <c r="A15">
        <v>13</v>
      </c>
      <c r="B15">
        <v>2036</v>
      </c>
      <c r="C15">
        <v>86.65879173956553</v>
      </c>
      <c r="D15">
        <v>91.119972690555556</v>
      </c>
    </row>
    <row r="16" spans="1:4" x14ac:dyDescent="0.25">
      <c r="A16">
        <v>14</v>
      </c>
      <c r="B16">
        <v>2037</v>
      </c>
      <c r="C16">
        <v>87.158482852178011</v>
      </c>
      <c r="D16">
        <v>91.700954329058661</v>
      </c>
    </row>
    <row r="17" spans="1:4" x14ac:dyDescent="0.25">
      <c r="A17">
        <v>15</v>
      </c>
      <c r="B17">
        <v>2038</v>
      </c>
      <c r="C17">
        <v>87.514394006618986</v>
      </c>
      <c r="D17">
        <v>92.062299959382614</v>
      </c>
    </row>
    <row r="18" spans="1:4" x14ac:dyDescent="0.25">
      <c r="A18">
        <v>16</v>
      </c>
      <c r="B18">
        <v>2039</v>
      </c>
      <c r="C18">
        <v>87.855357166227662</v>
      </c>
      <c r="D18">
        <v>92.427020825455401</v>
      </c>
    </row>
    <row r="19" spans="1:4" x14ac:dyDescent="0.25">
      <c r="A19">
        <v>17</v>
      </c>
      <c r="B19">
        <v>2040</v>
      </c>
      <c r="C19">
        <v>88.177631527032588</v>
      </c>
      <c r="D19">
        <v>92.793336113661894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7"/>
  <sheetViews>
    <sheetView workbookViewId="0"/>
  </sheetViews>
  <sheetFormatPr defaultRowHeight="15" x14ac:dyDescent="0.25"/>
  <sheetData>
    <row r="1" spans="1:2" x14ac:dyDescent="0.25">
      <c r="A1" s="1" t="s">
        <v>69</v>
      </c>
      <c r="B1" s="1" t="s">
        <v>70</v>
      </c>
    </row>
    <row r="2" spans="1:2" x14ac:dyDescent="0.25">
      <c r="A2">
        <v>65</v>
      </c>
      <c r="B2">
        <v>359703</v>
      </c>
    </row>
    <row r="3" spans="1:2" x14ac:dyDescent="0.25">
      <c r="A3">
        <v>66</v>
      </c>
      <c r="B3">
        <v>361467</v>
      </c>
    </row>
    <row r="4" spans="1:2" x14ac:dyDescent="0.25">
      <c r="A4">
        <v>67</v>
      </c>
      <c r="B4">
        <v>360374</v>
      </c>
    </row>
    <row r="5" spans="1:2" x14ac:dyDescent="0.25">
      <c r="A5">
        <v>68</v>
      </c>
      <c r="B5">
        <v>359963</v>
      </c>
    </row>
    <row r="6" spans="1:2" x14ac:dyDescent="0.25">
      <c r="A6">
        <v>69</v>
      </c>
      <c r="B6">
        <v>360167</v>
      </c>
    </row>
    <row r="7" spans="1:2" x14ac:dyDescent="0.25">
      <c r="A7">
        <v>70</v>
      </c>
      <c r="B7">
        <v>361084</v>
      </c>
    </row>
    <row r="8" spans="1:2" x14ac:dyDescent="0.25">
      <c r="A8">
        <v>71</v>
      </c>
      <c r="B8">
        <v>359485</v>
      </c>
    </row>
    <row r="9" spans="1:2" x14ac:dyDescent="0.25">
      <c r="A9">
        <v>72</v>
      </c>
      <c r="B9">
        <v>360097</v>
      </c>
    </row>
    <row r="10" spans="1:2" x14ac:dyDescent="0.25">
      <c r="A10">
        <v>73</v>
      </c>
      <c r="B10">
        <v>361792</v>
      </c>
    </row>
    <row r="11" spans="1:2" x14ac:dyDescent="0.25">
      <c r="A11">
        <v>74</v>
      </c>
      <c r="B11">
        <v>360219</v>
      </c>
    </row>
    <row r="12" spans="1:2" x14ac:dyDescent="0.25">
      <c r="A12">
        <v>75</v>
      </c>
      <c r="B12">
        <v>360467</v>
      </c>
    </row>
    <row r="13" spans="1:2" x14ac:dyDescent="0.25">
      <c r="A13">
        <v>76</v>
      </c>
      <c r="B13">
        <v>359852</v>
      </c>
    </row>
    <row r="14" spans="1:2" x14ac:dyDescent="0.25">
      <c r="A14">
        <v>77</v>
      </c>
      <c r="B14">
        <v>359365</v>
      </c>
    </row>
    <row r="15" spans="1:2" x14ac:dyDescent="0.25">
      <c r="A15">
        <v>78</v>
      </c>
      <c r="B15">
        <v>360762</v>
      </c>
    </row>
    <row r="16" spans="1:2" x14ac:dyDescent="0.25">
      <c r="A16">
        <v>79</v>
      </c>
      <c r="B16">
        <v>360145</v>
      </c>
    </row>
    <row r="17" spans="1:2" x14ac:dyDescent="0.25">
      <c r="A17">
        <v>80</v>
      </c>
      <c r="B17">
        <v>256604</v>
      </c>
    </row>
    <row r="18" spans="1:2" x14ac:dyDescent="0.25">
      <c r="A18">
        <v>81</v>
      </c>
      <c r="B18">
        <v>256559</v>
      </c>
    </row>
    <row r="19" spans="1:2" x14ac:dyDescent="0.25">
      <c r="A19">
        <v>82</v>
      </c>
      <c r="B19">
        <v>256842</v>
      </c>
    </row>
    <row r="20" spans="1:2" x14ac:dyDescent="0.25">
      <c r="A20">
        <v>83</v>
      </c>
      <c r="B20">
        <v>256502</v>
      </c>
    </row>
    <row r="21" spans="1:2" x14ac:dyDescent="0.25">
      <c r="A21">
        <v>84</v>
      </c>
      <c r="B21">
        <v>256014</v>
      </c>
    </row>
    <row r="22" spans="1:2" x14ac:dyDescent="0.25">
      <c r="A22">
        <v>85</v>
      </c>
      <c r="B22">
        <v>256211</v>
      </c>
    </row>
    <row r="23" spans="1:2" x14ac:dyDescent="0.25">
      <c r="A23">
        <v>86</v>
      </c>
      <c r="B23">
        <v>256988</v>
      </c>
    </row>
    <row r="24" spans="1:2" x14ac:dyDescent="0.25">
      <c r="A24">
        <v>87</v>
      </c>
      <c r="B24">
        <v>256803</v>
      </c>
    </row>
    <row r="25" spans="1:2" x14ac:dyDescent="0.25">
      <c r="A25">
        <v>88</v>
      </c>
      <c r="B25">
        <v>255360</v>
      </c>
    </row>
    <row r="26" spans="1:2" x14ac:dyDescent="0.25">
      <c r="A26">
        <v>89</v>
      </c>
      <c r="B26">
        <v>256526</v>
      </c>
    </row>
    <row r="27" spans="1:2" x14ac:dyDescent="0.25">
      <c r="A27">
        <v>90</v>
      </c>
      <c r="B27">
        <v>256758</v>
      </c>
    </row>
    <row r="28" spans="1:2" x14ac:dyDescent="0.25">
      <c r="A28">
        <v>91</v>
      </c>
      <c r="B28">
        <v>255267</v>
      </c>
    </row>
    <row r="29" spans="1:2" x14ac:dyDescent="0.25">
      <c r="A29">
        <v>92</v>
      </c>
      <c r="B29">
        <v>256743</v>
      </c>
    </row>
    <row r="30" spans="1:2" x14ac:dyDescent="0.25">
      <c r="A30">
        <v>93</v>
      </c>
      <c r="B30">
        <v>256500</v>
      </c>
    </row>
    <row r="31" spans="1:2" x14ac:dyDescent="0.25">
      <c r="A31">
        <v>94</v>
      </c>
      <c r="B31">
        <v>255220</v>
      </c>
    </row>
    <row r="32" spans="1:2" x14ac:dyDescent="0.25">
      <c r="A32">
        <v>95</v>
      </c>
      <c r="B32">
        <v>255800</v>
      </c>
    </row>
    <row r="33" spans="1:2" x14ac:dyDescent="0.25">
      <c r="A33">
        <v>96</v>
      </c>
      <c r="B33">
        <v>255801</v>
      </c>
    </row>
    <row r="34" spans="1:2" x14ac:dyDescent="0.25">
      <c r="A34">
        <v>97</v>
      </c>
      <c r="B34">
        <v>256726</v>
      </c>
    </row>
    <row r="35" spans="1:2" x14ac:dyDescent="0.25">
      <c r="A35">
        <v>98</v>
      </c>
      <c r="B35">
        <v>256671</v>
      </c>
    </row>
    <row r="36" spans="1:2" x14ac:dyDescent="0.25">
      <c r="A36">
        <v>99</v>
      </c>
      <c r="B36">
        <v>256607</v>
      </c>
    </row>
    <row r="37" spans="1:2" x14ac:dyDescent="0.25">
      <c r="A37">
        <v>100</v>
      </c>
      <c r="B37">
        <v>256035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"/>
  <sheetViews>
    <sheetView workbookViewId="0"/>
  </sheetViews>
  <sheetFormatPr defaultRowHeight="15" x14ac:dyDescent="0.25"/>
  <sheetData>
    <row r="1" spans="1:2" x14ac:dyDescent="0.25">
      <c r="A1" s="1" t="s">
        <v>69</v>
      </c>
      <c r="B1" s="1" t="s">
        <v>70</v>
      </c>
    </row>
    <row r="2" spans="1:2" x14ac:dyDescent="0.25">
      <c r="A2">
        <v>65</v>
      </c>
      <c r="B2">
        <v>893</v>
      </c>
    </row>
    <row r="3" spans="1:2" x14ac:dyDescent="0.25">
      <c r="A3">
        <v>66</v>
      </c>
      <c r="B3">
        <v>3117</v>
      </c>
    </row>
    <row r="4" spans="1:2" x14ac:dyDescent="0.25">
      <c r="A4">
        <v>67</v>
      </c>
      <c r="B4">
        <v>5996</v>
      </c>
    </row>
    <row r="5" spans="1:2" x14ac:dyDescent="0.25">
      <c r="A5">
        <v>68</v>
      </c>
      <c r="B5">
        <v>9840</v>
      </c>
    </row>
    <row r="6" spans="1:2" x14ac:dyDescent="0.25">
      <c r="A6">
        <v>69</v>
      </c>
      <c r="B6">
        <v>13960</v>
      </c>
    </row>
    <row r="7" spans="1:2" x14ac:dyDescent="0.25">
      <c r="A7">
        <v>70</v>
      </c>
      <c r="B7">
        <v>18502</v>
      </c>
    </row>
    <row r="8" spans="1:2" x14ac:dyDescent="0.25">
      <c r="A8">
        <v>71</v>
      </c>
      <c r="B8">
        <v>23518</v>
      </c>
    </row>
    <row r="9" spans="1:2" x14ac:dyDescent="0.25">
      <c r="A9">
        <v>72</v>
      </c>
      <c r="B9">
        <v>29743</v>
      </c>
    </row>
    <row r="10" spans="1:2" x14ac:dyDescent="0.25">
      <c r="A10">
        <v>73</v>
      </c>
      <c r="B10">
        <v>36560</v>
      </c>
    </row>
    <row r="11" spans="1:2" x14ac:dyDescent="0.25">
      <c r="A11">
        <v>74</v>
      </c>
      <c r="B11">
        <v>44295</v>
      </c>
    </row>
    <row r="12" spans="1:2" x14ac:dyDescent="0.25">
      <c r="A12">
        <v>75</v>
      </c>
      <c r="B12">
        <v>54244</v>
      </c>
    </row>
    <row r="13" spans="1:2" x14ac:dyDescent="0.25">
      <c r="A13">
        <v>76</v>
      </c>
      <c r="B13">
        <v>65602</v>
      </c>
    </row>
    <row r="14" spans="1:2" x14ac:dyDescent="0.25">
      <c r="A14">
        <v>77</v>
      </c>
      <c r="B14">
        <v>77496</v>
      </c>
    </row>
    <row r="15" spans="1:2" x14ac:dyDescent="0.25">
      <c r="A15">
        <v>78</v>
      </c>
      <c r="B15">
        <v>91896</v>
      </c>
    </row>
    <row r="16" spans="1:2" x14ac:dyDescent="0.25">
      <c r="A16">
        <v>79</v>
      </c>
      <c r="B16">
        <v>108357</v>
      </c>
    </row>
    <row r="17" spans="1:2" x14ac:dyDescent="0.25">
      <c r="A17">
        <v>80</v>
      </c>
      <c r="B17">
        <v>125945</v>
      </c>
    </row>
    <row r="18" spans="1:2" x14ac:dyDescent="0.25">
      <c r="A18">
        <v>81</v>
      </c>
      <c r="B18">
        <v>144027</v>
      </c>
    </row>
    <row r="19" spans="1:2" x14ac:dyDescent="0.25">
      <c r="A19">
        <v>82</v>
      </c>
      <c r="B19">
        <v>165656</v>
      </c>
    </row>
    <row r="20" spans="1:2" x14ac:dyDescent="0.25">
      <c r="A20">
        <v>83</v>
      </c>
      <c r="B20">
        <v>183324</v>
      </c>
    </row>
    <row r="21" spans="1:2" x14ac:dyDescent="0.25">
      <c r="A21">
        <v>84</v>
      </c>
      <c r="B21">
        <v>204614</v>
      </c>
    </row>
    <row r="22" spans="1:2" x14ac:dyDescent="0.25">
      <c r="A22">
        <v>85</v>
      </c>
      <c r="B22">
        <v>225035</v>
      </c>
    </row>
    <row r="23" spans="1:2" x14ac:dyDescent="0.25">
      <c r="A23">
        <v>86</v>
      </c>
      <c r="B23">
        <v>244952</v>
      </c>
    </row>
    <row r="24" spans="1:2" x14ac:dyDescent="0.25">
      <c r="A24">
        <v>87</v>
      </c>
      <c r="B24">
        <v>267855</v>
      </c>
    </row>
    <row r="25" spans="1:2" x14ac:dyDescent="0.25">
      <c r="A25">
        <v>88</v>
      </c>
      <c r="B25">
        <v>290588</v>
      </c>
    </row>
    <row r="26" spans="1:2" x14ac:dyDescent="0.25">
      <c r="A26">
        <v>89</v>
      </c>
      <c r="B26">
        <v>312582</v>
      </c>
    </row>
    <row r="27" spans="1:2" x14ac:dyDescent="0.25">
      <c r="A27">
        <v>90</v>
      </c>
      <c r="B27">
        <v>362243</v>
      </c>
    </row>
    <row r="28" spans="1:2" x14ac:dyDescent="0.25">
      <c r="A28">
        <v>91</v>
      </c>
      <c r="B28">
        <v>361584</v>
      </c>
    </row>
    <row r="29" spans="1:2" x14ac:dyDescent="0.25">
      <c r="A29">
        <v>92</v>
      </c>
      <c r="B29">
        <v>386496</v>
      </c>
    </row>
    <row r="30" spans="1:2" x14ac:dyDescent="0.25">
      <c r="A30">
        <v>93</v>
      </c>
      <c r="B30">
        <v>410785</v>
      </c>
    </row>
    <row r="31" spans="1:2" x14ac:dyDescent="0.25">
      <c r="A31">
        <v>94</v>
      </c>
      <c r="B31">
        <v>438529</v>
      </c>
    </row>
    <row r="32" spans="1:2" x14ac:dyDescent="0.25">
      <c r="A32">
        <v>95</v>
      </c>
      <c r="B32">
        <v>465655</v>
      </c>
    </row>
    <row r="33" spans="1:2" x14ac:dyDescent="0.25">
      <c r="A33">
        <v>96</v>
      </c>
      <c r="B33">
        <v>493856</v>
      </c>
    </row>
    <row r="34" spans="1:2" x14ac:dyDescent="0.25">
      <c r="A34">
        <v>97</v>
      </c>
      <c r="B34">
        <v>517377</v>
      </c>
    </row>
    <row r="35" spans="1:2" x14ac:dyDescent="0.25">
      <c r="A35">
        <v>98</v>
      </c>
      <c r="B35">
        <v>545227</v>
      </c>
    </row>
    <row r="36" spans="1:2" x14ac:dyDescent="0.25">
      <c r="A36">
        <v>99</v>
      </c>
      <c r="B36">
        <v>569209</v>
      </c>
    </row>
    <row r="37" spans="1:2" x14ac:dyDescent="0.25">
      <c r="A37">
        <v>100</v>
      </c>
      <c r="B37">
        <v>574332</v>
      </c>
    </row>
    <row r="38" spans="1:2" x14ac:dyDescent="0.25">
      <c r="A38">
        <v>101</v>
      </c>
      <c r="B38">
        <v>498708</v>
      </c>
    </row>
    <row r="39" spans="1:2" x14ac:dyDescent="0.25">
      <c r="A39">
        <v>102</v>
      </c>
      <c r="B39">
        <v>397723</v>
      </c>
    </row>
    <row r="40" spans="1:2" x14ac:dyDescent="0.25">
      <c r="A40">
        <v>103</v>
      </c>
      <c r="B40">
        <v>313370</v>
      </c>
    </row>
    <row r="41" spans="1:2" x14ac:dyDescent="0.25">
      <c r="A41">
        <v>104</v>
      </c>
      <c r="B41">
        <v>246562</v>
      </c>
    </row>
    <row r="42" spans="1:2" x14ac:dyDescent="0.25">
      <c r="A42">
        <v>105</v>
      </c>
      <c r="B42">
        <v>192634</v>
      </c>
    </row>
    <row r="43" spans="1:2" x14ac:dyDescent="0.25">
      <c r="A43">
        <v>106</v>
      </c>
      <c r="B43">
        <v>149528</v>
      </c>
    </row>
    <row r="44" spans="1:2" x14ac:dyDescent="0.25">
      <c r="A44">
        <v>107</v>
      </c>
      <c r="B44">
        <v>115659</v>
      </c>
    </row>
    <row r="45" spans="1:2" x14ac:dyDescent="0.25">
      <c r="A45">
        <v>108</v>
      </c>
      <c r="B45">
        <v>88183</v>
      </c>
    </row>
    <row r="46" spans="1:2" x14ac:dyDescent="0.25">
      <c r="A46">
        <v>109</v>
      </c>
      <c r="B46">
        <v>66682</v>
      </c>
    </row>
    <row r="47" spans="1:2" x14ac:dyDescent="0.25">
      <c r="A47">
        <v>110</v>
      </c>
      <c r="B47">
        <v>49695</v>
      </c>
    </row>
    <row r="48" spans="1:2" x14ac:dyDescent="0.25">
      <c r="A48">
        <v>111</v>
      </c>
      <c r="B48">
        <v>37169</v>
      </c>
    </row>
    <row r="49" spans="1:2" x14ac:dyDescent="0.25">
      <c r="A49">
        <v>112</v>
      </c>
      <c r="B49">
        <v>26964</v>
      </c>
    </row>
    <row r="50" spans="1:2" x14ac:dyDescent="0.25">
      <c r="A50">
        <v>113</v>
      </c>
      <c r="B50">
        <v>19122</v>
      </c>
    </row>
    <row r="51" spans="1:2" x14ac:dyDescent="0.25">
      <c r="A51">
        <v>114</v>
      </c>
      <c r="B51">
        <v>12931</v>
      </c>
    </row>
    <row r="52" spans="1:2" x14ac:dyDescent="0.25">
      <c r="A52">
        <v>115</v>
      </c>
      <c r="B52">
        <v>9824</v>
      </c>
    </row>
    <row r="53" spans="1:2" x14ac:dyDescent="0.25">
      <c r="A53">
        <v>116</v>
      </c>
      <c r="B53">
        <v>5683</v>
      </c>
    </row>
    <row r="54" spans="1:2" x14ac:dyDescent="0.25">
      <c r="A54">
        <v>117</v>
      </c>
      <c r="B54">
        <v>2631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4"/>
  <sheetViews>
    <sheetView workbookViewId="0"/>
  </sheetViews>
  <sheetFormatPr defaultRowHeight="15" x14ac:dyDescent="0.25"/>
  <sheetData>
    <row r="1" spans="1:2" x14ac:dyDescent="0.25">
      <c r="A1" s="1" t="s">
        <v>71</v>
      </c>
      <c r="B1" s="1" t="s">
        <v>70</v>
      </c>
    </row>
    <row r="2" spans="1:2" x14ac:dyDescent="0.25">
      <c r="A2">
        <v>65</v>
      </c>
      <c r="B2">
        <v>8285</v>
      </c>
    </row>
    <row r="3" spans="1:2" x14ac:dyDescent="0.25">
      <c r="A3">
        <v>66</v>
      </c>
      <c r="B3">
        <v>10821</v>
      </c>
    </row>
    <row r="4" spans="1:2" x14ac:dyDescent="0.25">
      <c r="A4">
        <v>67</v>
      </c>
      <c r="B4">
        <v>13635</v>
      </c>
    </row>
    <row r="5" spans="1:2" x14ac:dyDescent="0.25">
      <c r="A5">
        <v>68</v>
      </c>
      <c r="B5">
        <v>16619</v>
      </c>
    </row>
    <row r="6" spans="1:2" x14ac:dyDescent="0.25">
      <c r="A6">
        <v>69</v>
      </c>
      <c r="B6">
        <v>19610</v>
      </c>
    </row>
    <row r="7" spans="1:2" x14ac:dyDescent="0.25">
      <c r="A7">
        <v>70</v>
      </c>
      <c r="B7">
        <v>22976</v>
      </c>
    </row>
    <row r="8" spans="1:2" x14ac:dyDescent="0.25">
      <c r="A8">
        <v>71</v>
      </c>
      <c r="B8">
        <v>26097</v>
      </c>
    </row>
    <row r="9" spans="1:2" x14ac:dyDescent="0.25">
      <c r="A9">
        <v>72</v>
      </c>
      <c r="B9">
        <v>29292</v>
      </c>
    </row>
    <row r="10" spans="1:2" x14ac:dyDescent="0.25">
      <c r="A10">
        <v>73</v>
      </c>
      <c r="B10">
        <v>32929</v>
      </c>
    </row>
    <row r="11" spans="1:2" x14ac:dyDescent="0.25">
      <c r="A11">
        <v>74</v>
      </c>
      <c r="B11">
        <v>36786</v>
      </c>
    </row>
    <row r="12" spans="1:2" x14ac:dyDescent="0.25">
      <c r="A12">
        <v>75</v>
      </c>
      <c r="B12">
        <v>42383</v>
      </c>
    </row>
    <row r="13" spans="1:2" x14ac:dyDescent="0.25">
      <c r="A13">
        <v>76</v>
      </c>
      <c r="B13">
        <v>47458</v>
      </c>
    </row>
    <row r="14" spans="1:2" x14ac:dyDescent="0.25">
      <c r="A14">
        <v>77</v>
      </c>
      <c r="B14">
        <v>53719</v>
      </c>
    </row>
    <row r="15" spans="1:2" x14ac:dyDescent="0.25">
      <c r="A15">
        <v>78</v>
      </c>
      <c r="B15">
        <v>59387</v>
      </c>
    </row>
    <row r="16" spans="1:2" x14ac:dyDescent="0.25">
      <c r="A16">
        <v>79</v>
      </c>
      <c r="B16">
        <v>65120</v>
      </c>
    </row>
    <row r="17" spans="1:2" x14ac:dyDescent="0.25">
      <c r="A17">
        <v>80</v>
      </c>
      <c r="B17">
        <v>96764</v>
      </c>
    </row>
    <row r="18" spans="1:2" x14ac:dyDescent="0.25">
      <c r="A18">
        <v>81</v>
      </c>
      <c r="B18">
        <v>101089</v>
      </c>
    </row>
    <row r="19" spans="1:2" x14ac:dyDescent="0.25">
      <c r="A19">
        <v>82</v>
      </c>
      <c r="B19">
        <v>105961</v>
      </c>
    </row>
    <row r="20" spans="1:2" x14ac:dyDescent="0.25">
      <c r="A20">
        <v>83</v>
      </c>
      <c r="B20">
        <v>107345</v>
      </c>
    </row>
    <row r="21" spans="1:2" x14ac:dyDescent="0.25">
      <c r="A21">
        <v>84</v>
      </c>
      <c r="B21">
        <v>109098</v>
      </c>
    </row>
    <row r="22" spans="1:2" x14ac:dyDescent="0.25">
      <c r="A22">
        <v>85</v>
      </c>
      <c r="B22">
        <v>109444</v>
      </c>
    </row>
    <row r="23" spans="1:2" x14ac:dyDescent="0.25">
      <c r="A23">
        <v>86</v>
      </c>
      <c r="B23">
        <v>110275</v>
      </c>
    </row>
    <row r="24" spans="1:2" x14ac:dyDescent="0.25">
      <c r="A24">
        <v>87</v>
      </c>
      <c r="B24">
        <v>111510</v>
      </c>
    </row>
    <row r="25" spans="1:2" x14ac:dyDescent="0.25">
      <c r="A25">
        <v>88</v>
      </c>
      <c r="B25">
        <v>111710</v>
      </c>
    </row>
    <row r="26" spans="1:2" x14ac:dyDescent="0.25">
      <c r="A26">
        <v>89</v>
      </c>
      <c r="B26">
        <v>112071</v>
      </c>
    </row>
    <row r="27" spans="1:2" x14ac:dyDescent="0.25">
      <c r="A27">
        <v>90</v>
      </c>
      <c r="B27">
        <v>110707</v>
      </c>
    </row>
    <row r="28" spans="1:2" x14ac:dyDescent="0.25">
      <c r="A28">
        <v>91</v>
      </c>
      <c r="B28">
        <v>110494</v>
      </c>
    </row>
    <row r="29" spans="1:2" x14ac:dyDescent="0.25">
      <c r="A29">
        <v>92</v>
      </c>
      <c r="B29">
        <v>109501</v>
      </c>
    </row>
    <row r="30" spans="1:2" x14ac:dyDescent="0.25">
      <c r="A30">
        <v>93</v>
      </c>
      <c r="B30">
        <v>108883</v>
      </c>
    </row>
    <row r="31" spans="1:2" x14ac:dyDescent="0.25">
      <c r="A31">
        <v>94</v>
      </c>
      <c r="B31">
        <v>106431</v>
      </c>
    </row>
    <row r="32" spans="1:2" x14ac:dyDescent="0.25">
      <c r="A32">
        <v>95</v>
      </c>
      <c r="B32">
        <v>105075</v>
      </c>
    </row>
    <row r="33" spans="1:2" x14ac:dyDescent="0.25">
      <c r="A33">
        <v>96</v>
      </c>
      <c r="B33">
        <v>103295</v>
      </c>
    </row>
    <row r="34" spans="1:2" x14ac:dyDescent="0.25">
      <c r="A34">
        <v>97</v>
      </c>
      <c r="B34">
        <v>101748</v>
      </c>
    </row>
    <row r="35" spans="1:2" x14ac:dyDescent="0.25">
      <c r="A35">
        <v>98</v>
      </c>
      <c r="B35">
        <v>100406</v>
      </c>
    </row>
    <row r="36" spans="1:2" x14ac:dyDescent="0.25">
      <c r="A36">
        <v>99</v>
      </c>
      <c r="B36">
        <v>98879</v>
      </c>
    </row>
    <row r="37" spans="1:2" x14ac:dyDescent="0.25">
      <c r="A37">
        <v>100</v>
      </c>
      <c r="B37">
        <v>96739</v>
      </c>
    </row>
    <row r="38" spans="1:2" x14ac:dyDescent="0.25">
      <c r="A38">
        <v>101</v>
      </c>
      <c r="B38">
        <v>57279</v>
      </c>
    </row>
    <row r="39" spans="1:2" x14ac:dyDescent="0.25">
      <c r="A39">
        <v>102</v>
      </c>
      <c r="B39">
        <v>46747</v>
      </c>
    </row>
    <row r="40" spans="1:2" x14ac:dyDescent="0.25">
      <c r="A40">
        <v>103</v>
      </c>
      <c r="B40">
        <v>38705</v>
      </c>
    </row>
    <row r="41" spans="1:2" x14ac:dyDescent="0.25">
      <c r="A41">
        <v>104</v>
      </c>
      <c r="B41">
        <v>31165</v>
      </c>
    </row>
    <row r="42" spans="1:2" x14ac:dyDescent="0.25">
      <c r="A42">
        <v>105</v>
      </c>
      <c r="B42">
        <v>25121</v>
      </c>
    </row>
    <row r="43" spans="1:2" x14ac:dyDescent="0.25">
      <c r="A43">
        <v>106</v>
      </c>
      <c r="B43">
        <v>20085</v>
      </c>
    </row>
    <row r="44" spans="1:2" x14ac:dyDescent="0.25">
      <c r="A44">
        <v>107</v>
      </c>
      <c r="B44">
        <v>16224</v>
      </c>
    </row>
    <row r="45" spans="1:2" x14ac:dyDescent="0.25">
      <c r="A45">
        <v>108</v>
      </c>
      <c r="B45">
        <v>13057</v>
      </c>
    </row>
    <row r="46" spans="1:2" x14ac:dyDescent="0.25">
      <c r="A46">
        <v>109</v>
      </c>
      <c r="B46">
        <v>10199</v>
      </c>
    </row>
    <row r="47" spans="1:2" x14ac:dyDescent="0.25">
      <c r="A47">
        <v>110</v>
      </c>
      <c r="B47">
        <v>8024</v>
      </c>
    </row>
    <row r="48" spans="1:2" x14ac:dyDescent="0.25">
      <c r="A48">
        <v>111</v>
      </c>
      <c r="B48">
        <v>6231</v>
      </c>
    </row>
    <row r="49" spans="1:2" x14ac:dyDescent="0.25">
      <c r="A49">
        <v>112</v>
      </c>
      <c r="B49">
        <v>4831</v>
      </c>
    </row>
    <row r="50" spans="1:2" x14ac:dyDescent="0.25">
      <c r="A50">
        <v>113</v>
      </c>
      <c r="B50">
        <v>3614</v>
      </c>
    </row>
    <row r="51" spans="1:2" x14ac:dyDescent="0.25">
      <c r="A51">
        <v>114</v>
      </c>
      <c r="B51">
        <v>2506</v>
      </c>
    </row>
    <row r="52" spans="1:2" x14ac:dyDescent="0.25">
      <c r="A52">
        <v>115</v>
      </c>
      <c r="B52">
        <v>1670</v>
      </c>
    </row>
    <row r="53" spans="1:2" x14ac:dyDescent="0.25">
      <c r="A53">
        <v>116</v>
      </c>
      <c r="B53">
        <v>987</v>
      </c>
    </row>
    <row r="54" spans="1:2" x14ac:dyDescent="0.25">
      <c r="A54">
        <v>117</v>
      </c>
      <c r="B54">
        <v>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300869</v>
      </c>
      <c r="C2">
        <v>1896221</v>
      </c>
      <c r="D2">
        <v>2197090</v>
      </c>
      <c r="E2">
        <v>0.13693977033257629</v>
      </c>
    </row>
    <row r="3" spans="1:5" x14ac:dyDescent="0.25">
      <c r="A3" t="s">
        <v>78</v>
      </c>
      <c r="B3">
        <v>1289192</v>
      </c>
      <c r="C3">
        <v>907898</v>
      </c>
      <c r="D3">
        <v>2197090</v>
      </c>
      <c r="E3">
        <v>0.58677250362980127</v>
      </c>
    </row>
    <row r="4" spans="1:5" x14ac:dyDescent="0.25">
      <c r="A4" t="s">
        <v>79</v>
      </c>
      <c r="B4">
        <v>80989</v>
      </c>
      <c r="C4">
        <v>2116101</v>
      </c>
      <c r="D4">
        <v>2197090</v>
      </c>
      <c r="E4">
        <v>3.6861940111693192E-2</v>
      </c>
    </row>
    <row r="5" spans="1:5" x14ac:dyDescent="0.25">
      <c r="A5" t="s">
        <v>80</v>
      </c>
      <c r="B5">
        <v>371757</v>
      </c>
      <c r="C5">
        <v>1825333</v>
      </c>
      <c r="D5">
        <v>2197090</v>
      </c>
      <c r="E5">
        <v>0.16920426564228139</v>
      </c>
    </row>
    <row r="6" spans="1:5" x14ac:dyDescent="0.25">
      <c r="A6" t="s">
        <v>81</v>
      </c>
      <c r="B6">
        <v>333413</v>
      </c>
      <c r="C6">
        <v>1863677</v>
      </c>
      <c r="D6">
        <v>2197090</v>
      </c>
      <c r="E6">
        <v>0.15175209026485029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>
        <v>65</v>
      </c>
      <c r="B2">
        <v>642821</v>
      </c>
      <c r="C2">
        <v>45500</v>
      </c>
      <c r="D2">
        <v>7.0781757285465166E-2</v>
      </c>
      <c r="E2">
        <v>7.0781757285465163</v>
      </c>
    </row>
    <row r="3" spans="1:5" x14ac:dyDescent="0.25">
      <c r="A3">
        <v>66</v>
      </c>
      <c r="B3">
        <v>644163</v>
      </c>
      <c r="C3">
        <v>47909</v>
      </c>
      <c r="D3">
        <v>7.4374032659435582E-2</v>
      </c>
      <c r="E3">
        <v>7.4374032659435576</v>
      </c>
    </row>
    <row r="4" spans="1:5" x14ac:dyDescent="0.25">
      <c r="A4">
        <v>67</v>
      </c>
      <c r="B4">
        <v>642941</v>
      </c>
      <c r="C4">
        <v>49310</v>
      </c>
      <c r="D4">
        <v>7.669444008081612E-2</v>
      </c>
      <c r="E4">
        <v>7.6694440080816122</v>
      </c>
    </row>
    <row r="5" spans="1:5" x14ac:dyDescent="0.25">
      <c r="A5">
        <v>68</v>
      </c>
      <c r="B5">
        <v>641920</v>
      </c>
      <c r="C5">
        <v>51843</v>
      </c>
      <c r="D5">
        <v>8.0762400299102685E-2</v>
      </c>
      <c r="E5">
        <v>8.0762400299102683</v>
      </c>
    </row>
    <row r="6" spans="1:5" x14ac:dyDescent="0.25">
      <c r="A6">
        <v>69</v>
      </c>
      <c r="B6">
        <v>643037</v>
      </c>
      <c r="C6">
        <v>53749</v>
      </c>
      <c r="D6">
        <v>8.3586170002659249E-2</v>
      </c>
      <c r="E6">
        <v>8.3586170002659248</v>
      </c>
    </row>
    <row r="7" spans="1:5" x14ac:dyDescent="0.25">
      <c r="A7">
        <v>70</v>
      </c>
      <c r="B7">
        <v>614694</v>
      </c>
      <c r="C7">
        <v>53954</v>
      </c>
      <c r="D7">
        <v>8.7773754095533715E-2</v>
      </c>
      <c r="E7">
        <v>8.7773754095533718</v>
      </c>
    </row>
    <row r="8" spans="1:5" x14ac:dyDescent="0.25">
      <c r="A8">
        <v>71</v>
      </c>
      <c r="B8">
        <v>612013</v>
      </c>
      <c r="C8">
        <v>55238</v>
      </c>
      <c r="D8">
        <v>9.0256252726657771E-2</v>
      </c>
      <c r="E8">
        <v>9.0256252726657777</v>
      </c>
    </row>
    <row r="9" spans="1:5" x14ac:dyDescent="0.25">
      <c r="A9">
        <v>72</v>
      </c>
      <c r="B9">
        <v>612718</v>
      </c>
      <c r="C9">
        <v>57414</v>
      </c>
      <c r="D9">
        <v>9.3703791956495489E-2</v>
      </c>
      <c r="E9">
        <v>9.3703791956495497</v>
      </c>
    </row>
    <row r="10" spans="1:5" x14ac:dyDescent="0.25">
      <c r="A10">
        <v>73</v>
      </c>
      <c r="B10">
        <v>614590</v>
      </c>
      <c r="C10">
        <v>59861</v>
      </c>
      <c r="D10">
        <v>9.7399892611334388E-2</v>
      </c>
      <c r="E10">
        <v>9.739989261133438</v>
      </c>
    </row>
    <row r="11" spans="1:5" x14ac:dyDescent="0.25">
      <c r="A11">
        <v>74</v>
      </c>
      <c r="B11">
        <v>613162</v>
      </c>
      <c r="C11">
        <v>61159</v>
      </c>
      <c r="D11">
        <v>9.974362403410518E-2</v>
      </c>
      <c r="E11">
        <v>9.9743624034105185</v>
      </c>
    </row>
    <row r="12" spans="1:5" x14ac:dyDescent="0.25">
      <c r="A12">
        <v>75</v>
      </c>
      <c r="B12">
        <v>851173</v>
      </c>
      <c r="C12">
        <v>79783</v>
      </c>
      <c r="D12">
        <v>9.3733001399245508E-2</v>
      </c>
      <c r="E12">
        <v>9.3733001399245506</v>
      </c>
    </row>
    <row r="13" spans="1:5" x14ac:dyDescent="0.25">
      <c r="A13">
        <v>76</v>
      </c>
      <c r="B13">
        <v>851414</v>
      </c>
      <c r="C13">
        <v>81906</v>
      </c>
      <c r="D13">
        <v>9.6199968522951235E-2</v>
      </c>
      <c r="E13">
        <v>9.6199968522951238</v>
      </c>
    </row>
    <row r="14" spans="1:5" x14ac:dyDescent="0.25">
      <c r="A14">
        <v>77</v>
      </c>
      <c r="B14">
        <v>850760</v>
      </c>
      <c r="C14">
        <v>84024</v>
      </c>
      <c r="D14">
        <v>9.8763458554704031E-2</v>
      </c>
      <c r="E14">
        <v>9.8763458554704027</v>
      </c>
    </row>
    <row r="15" spans="1:5" x14ac:dyDescent="0.25">
      <c r="A15">
        <v>78</v>
      </c>
      <c r="B15">
        <v>851601</v>
      </c>
      <c r="C15">
        <v>86499</v>
      </c>
      <c r="D15">
        <v>0.1015722151570982</v>
      </c>
      <c r="E15">
        <v>10.15722151570982</v>
      </c>
    </row>
    <row r="16" spans="1:5" x14ac:dyDescent="0.25">
      <c r="A16">
        <v>79</v>
      </c>
      <c r="B16">
        <v>850964</v>
      </c>
      <c r="C16">
        <v>87450</v>
      </c>
      <c r="D16">
        <v>0.10276580442885951</v>
      </c>
      <c r="E16">
        <v>10.276580442885949</v>
      </c>
    </row>
    <row r="17" spans="1:5" x14ac:dyDescent="0.25">
      <c r="A17">
        <v>80</v>
      </c>
      <c r="B17">
        <v>623129</v>
      </c>
      <c r="C17">
        <v>62847</v>
      </c>
      <c r="D17">
        <v>0.10085712589207051</v>
      </c>
      <c r="E17">
        <v>10.08571258920705</v>
      </c>
    </row>
    <row r="18" spans="1:5" x14ac:dyDescent="0.25">
      <c r="A18">
        <v>81</v>
      </c>
      <c r="B18">
        <v>622553</v>
      </c>
      <c r="C18">
        <v>63711</v>
      </c>
      <c r="D18">
        <v>0.10233827481355</v>
      </c>
      <c r="E18">
        <v>10.233827481355</v>
      </c>
    </row>
    <row r="19" spans="1:5" x14ac:dyDescent="0.25">
      <c r="A19">
        <v>82</v>
      </c>
      <c r="B19">
        <v>621209</v>
      </c>
      <c r="C19">
        <v>64545</v>
      </c>
      <c r="D19">
        <v>0.1039022293624207</v>
      </c>
      <c r="E19">
        <v>10.39022293624207</v>
      </c>
    </row>
    <row r="20" spans="1:5" x14ac:dyDescent="0.25">
      <c r="A20">
        <v>83</v>
      </c>
      <c r="B20">
        <v>622610</v>
      </c>
      <c r="C20">
        <v>65674</v>
      </c>
      <c r="D20">
        <v>0.105481762258878</v>
      </c>
      <c r="E20">
        <v>10.548176225887801</v>
      </c>
    </row>
    <row r="21" spans="1:5" x14ac:dyDescent="0.25">
      <c r="A21">
        <v>84</v>
      </c>
      <c r="B21">
        <v>621533</v>
      </c>
      <c r="C21">
        <v>66304</v>
      </c>
      <c r="D21">
        <v>0.10667816511754</v>
      </c>
      <c r="E21">
        <v>10.667816511753999</v>
      </c>
    </row>
    <row r="22" spans="1:5" x14ac:dyDescent="0.25">
      <c r="A22">
        <v>85</v>
      </c>
      <c r="B22">
        <v>556277</v>
      </c>
      <c r="C22">
        <v>59532</v>
      </c>
      <c r="D22">
        <v>0.10701862561277931</v>
      </c>
      <c r="E22">
        <v>10.701862561277929</v>
      </c>
    </row>
    <row r="23" spans="1:5" x14ac:dyDescent="0.25">
      <c r="A23">
        <v>86</v>
      </c>
      <c r="B23">
        <v>556215</v>
      </c>
      <c r="C23">
        <v>59572</v>
      </c>
      <c r="D23">
        <v>0.1071024693688592</v>
      </c>
      <c r="E23">
        <v>10.71024693688592</v>
      </c>
    </row>
    <row r="24" spans="1:5" x14ac:dyDescent="0.25">
      <c r="A24">
        <v>87</v>
      </c>
      <c r="B24">
        <v>556469</v>
      </c>
      <c r="C24">
        <v>59509</v>
      </c>
      <c r="D24">
        <v>0.1069403686458725</v>
      </c>
      <c r="E24">
        <v>10.69403686458725</v>
      </c>
    </row>
    <row r="25" spans="1:5" x14ac:dyDescent="0.25">
      <c r="A25">
        <v>88</v>
      </c>
      <c r="B25">
        <v>554497</v>
      </c>
      <c r="C25">
        <v>58699</v>
      </c>
      <c r="D25">
        <v>0.1058599054638709</v>
      </c>
      <c r="E25">
        <v>10.585990546387089</v>
      </c>
    </row>
    <row r="26" spans="1:5" x14ac:dyDescent="0.25">
      <c r="A26">
        <v>89</v>
      </c>
      <c r="B26">
        <v>555365</v>
      </c>
      <c r="C26">
        <v>55926</v>
      </c>
      <c r="D26">
        <v>0.100701340559812</v>
      </c>
      <c r="E26">
        <v>10.0701340559812</v>
      </c>
    </row>
    <row r="27" spans="1:5" x14ac:dyDescent="0.25">
      <c r="A27">
        <v>90</v>
      </c>
      <c r="B27">
        <v>555455</v>
      </c>
      <c r="C27">
        <v>57932</v>
      </c>
      <c r="D27">
        <v>0.10429647766245689</v>
      </c>
      <c r="E27">
        <v>10.42964776624569</v>
      </c>
    </row>
    <row r="28" spans="1:5" x14ac:dyDescent="0.25">
      <c r="A28">
        <v>91</v>
      </c>
      <c r="B28">
        <v>554560</v>
      </c>
      <c r="C28">
        <v>57492</v>
      </c>
      <c r="D28">
        <v>0.1036713791113676</v>
      </c>
      <c r="E28">
        <v>10.36713791113676</v>
      </c>
    </row>
    <row r="29" spans="1:5" x14ac:dyDescent="0.25">
      <c r="A29">
        <v>92</v>
      </c>
      <c r="B29">
        <v>556144</v>
      </c>
      <c r="C29">
        <v>56777</v>
      </c>
      <c r="D29">
        <v>0.1020904657786473</v>
      </c>
      <c r="E29">
        <v>10.209046577864729</v>
      </c>
    </row>
    <row r="30" spans="1:5" x14ac:dyDescent="0.25">
      <c r="A30">
        <v>93</v>
      </c>
      <c r="B30">
        <v>555807</v>
      </c>
      <c r="C30">
        <v>56369</v>
      </c>
      <c r="D30">
        <v>0.1014182980782898</v>
      </c>
      <c r="E30">
        <v>10.14182980782898</v>
      </c>
    </row>
    <row r="31" spans="1:5" x14ac:dyDescent="0.25">
      <c r="A31">
        <v>94</v>
      </c>
      <c r="B31">
        <v>555380</v>
      </c>
      <c r="C31">
        <v>56039</v>
      </c>
      <c r="D31">
        <v>0.1009020850588786</v>
      </c>
      <c r="E31">
        <v>10.09020850588786</v>
      </c>
    </row>
    <row r="32" spans="1:5" x14ac:dyDescent="0.25">
      <c r="A32">
        <v>95</v>
      </c>
      <c r="B32">
        <v>555634</v>
      </c>
      <c r="C32">
        <v>55446</v>
      </c>
      <c r="D32">
        <v>9.9788709834171416E-2</v>
      </c>
      <c r="E32">
        <v>9.9788709834171421</v>
      </c>
    </row>
    <row r="33" spans="1:5" x14ac:dyDescent="0.25">
      <c r="A33">
        <v>96</v>
      </c>
      <c r="B33">
        <v>553856</v>
      </c>
      <c r="C33">
        <v>55345</v>
      </c>
      <c r="D33">
        <v>9.9926695747631147E-2</v>
      </c>
      <c r="E33">
        <v>9.9926695747631147</v>
      </c>
    </row>
    <row r="34" spans="1:5" x14ac:dyDescent="0.25">
      <c r="A34">
        <v>97</v>
      </c>
      <c r="B34">
        <v>556370</v>
      </c>
      <c r="C34">
        <v>55628</v>
      </c>
      <c r="D34">
        <v>9.9983823714434636E-2</v>
      </c>
      <c r="E34">
        <v>9.9983823714434639</v>
      </c>
    </row>
    <row r="35" spans="1:5" x14ac:dyDescent="0.25">
      <c r="A35">
        <v>98</v>
      </c>
      <c r="B35">
        <v>555938</v>
      </c>
      <c r="C35">
        <v>56161</v>
      </c>
      <c r="D35">
        <v>0.1010202576546305</v>
      </c>
      <c r="E35">
        <v>10.102025765463051</v>
      </c>
    </row>
    <row r="36" spans="1:5" x14ac:dyDescent="0.25">
      <c r="A36">
        <v>99</v>
      </c>
      <c r="B36">
        <v>556770</v>
      </c>
      <c r="C36">
        <v>58135</v>
      </c>
      <c r="D36">
        <v>0.1044147493579036</v>
      </c>
      <c r="E36">
        <v>10.44147493579036</v>
      </c>
    </row>
    <row r="37" spans="1:5" x14ac:dyDescent="0.25">
      <c r="A37">
        <v>100</v>
      </c>
      <c r="B37">
        <v>554584</v>
      </c>
      <c r="C37">
        <v>59848</v>
      </c>
      <c r="D37">
        <v>0.1079151219652929</v>
      </c>
      <c r="E37">
        <v>10.79151219652929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>
        <v>65</v>
      </c>
      <c r="B2">
        <v>650003</v>
      </c>
      <c r="C2">
        <v>52682</v>
      </c>
      <c r="D2">
        <v>8.1048856697584479E-2</v>
      </c>
      <c r="E2">
        <v>8.1048856697584473</v>
      </c>
    </row>
    <row r="3" spans="1:5" x14ac:dyDescent="0.25">
      <c r="A3">
        <v>66</v>
      </c>
      <c r="B3">
        <v>651364</v>
      </c>
      <c r="C3">
        <v>55110</v>
      </c>
      <c r="D3">
        <v>8.4607070700867718E-2</v>
      </c>
      <c r="E3">
        <v>8.4607070700867713</v>
      </c>
    </row>
    <row r="4" spans="1:5" x14ac:dyDescent="0.25">
      <c r="A4">
        <v>67</v>
      </c>
      <c r="B4">
        <v>650203</v>
      </c>
      <c r="C4">
        <v>56572</v>
      </c>
      <c r="D4">
        <v>8.7006673300492304E-2</v>
      </c>
      <c r="E4">
        <v>8.7006673300492299</v>
      </c>
    </row>
    <row r="5" spans="1:5" x14ac:dyDescent="0.25">
      <c r="A5">
        <v>68</v>
      </c>
      <c r="B5">
        <v>649128</v>
      </c>
      <c r="C5">
        <v>59051</v>
      </c>
      <c r="D5">
        <v>9.0969731701605841E-2</v>
      </c>
      <c r="E5">
        <v>9.0969731701605845</v>
      </c>
    </row>
    <row r="6" spans="1:5" x14ac:dyDescent="0.25">
      <c r="A6">
        <v>69</v>
      </c>
      <c r="B6">
        <v>650241</v>
      </c>
      <c r="C6">
        <v>60953</v>
      </c>
      <c r="D6">
        <v>9.3739090583337556E-2</v>
      </c>
      <c r="E6">
        <v>9.373909058333755</v>
      </c>
    </row>
    <row r="7" spans="1:5" x14ac:dyDescent="0.25">
      <c r="A7">
        <v>70</v>
      </c>
      <c r="B7">
        <v>622014</v>
      </c>
      <c r="C7">
        <v>61274</v>
      </c>
      <c r="D7">
        <v>9.8509036774091896E-2</v>
      </c>
      <c r="E7">
        <v>9.8509036774091889</v>
      </c>
    </row>
    <row r="8" spans="1:5" x14ac:dyDescent="0.25">
      <c r="A8">
        <v>71</v>
      </c>
      <c r="B8">
        <v>619269</v>
      </c>
      <c r="C8">
        <v>62494</v>
      </c>
      <c r="D8">
        <v>0.1009157571265476</v>
      </c>
      <c r="E8">
        <v>10.091575712654761</v>
      </c>
    </row>
    <row r="9" spans="1:5" x14ac:dyDescent="0.25">
      <c r="A9">
        <v>72</v>
      </c>
      <c r="B9">
        <v>619910</v>
      </c>
      <c r="C9">
        <v>64606</v>
      </c>
      <c r="D9">
        <v>0.1042183542772338</v>
      </c>
      <c r="E9">
        <v>10.42183542772338</v>
      </c>
    </row>
    <row r="10" spans="1:5" x14ac:dyDescent="0.25">
      <c r="A10">
        <v>73</v>
      </c>
      <c r="B10">
        <v>621769</v>
      </c>
      <c r="C10">
        <v>67040</v>
      </c>
      <c r="D10">
        <v>0.107821393475712</v>
      </c>
      <c r="E10">
        <v>10.782139347571199</v>
      </c>
    </row>
    <row r="11" spans="1:5" x14ac:dyDescent="0.25">
      <c r="A11">
        <v>74</v>
      </c>
      <c r="B11">
        <v>620416</v>
      </c>
      <c r="C11">
        <v>68413</v>
      </c>
      <c r="D11">
        <v>0.1102695610687023</v>
      </c>
      <c r="E11">
        <v>11.02695610687023</v>
      </c>
    </row>
    <row r="12" spans="1:5" x14ac:dyDescent="0.25">
      <c r="A12">
        <v>75</v>
      </c>
      <c r="B12">
        <v>858480</v>
      </c>
      <c r="C12">
        <v>87090</v>
      </c>
      <c r="D12">
        <v>0.101446743080794</v>
      </c>
      <c r="E12">
        <v>10.1446743080794</v>
      </c>
    </row>
    <row r="13" spans="1:5" x14ac:dyDescent="0.25">
      <c r="A13">
        <v>76</v>
      </c>
      <c r="B13">
        <v>858527</v>
      </c>
      <c r="C13">
        <v>89019</v>
      </c>
      <c r="D13">
        <v>0.1036880610627272</v>
      </c>
      <c r="E13">
        <v>10.36880610627272</v>
      </c>
    </row>
    <row r="14" spans="1:5" x14ac:dyDescent="0.25">
      <c r="A14">
        <v>77</v>
      </c>
      <c r="B14">
        <v>857945</v>
      </c>
      <c r="C14">
        <v>91209</v>
      </c>
      <c r="D14">
        <v>0.1063110106125684</v>
      </c>
      <c r="E14">
        <v>10.631101061256841</v>
      </c>
    </row>
    <row r="15" spans="1:5" x14ac:dyDescent="0.25">
      <c r="A15">
        <v>78</v>
      </c>
      <c r="B15">
        <v>858841</v>
      </c>
      <c r="C15">
        <v>93739</v>
      </c>
      <c r="D15">
        <v>0.1091459303875805</v>
      </c>
      <c r="E15">
        <v>10.914593038758049</v>
      </c>
    </row>
    <row r="16" spans="1:5" x14ac:dyDescent="0.25">
      <c r="A16">
        <v>79</v>
      </c>
      <c r="B16">
        <v>858158</v>
      </c>
      <c r="C16">
        <v>94644</v>
      </c>
      <c r="D16">
        <v>0.11028738297609531</v>
      </c>
      <c r="E16">
        <v>11.028738297609531</v>
      </c>
    </row>
    <row r="17" spans="1:5" x14ac:dyDescent="0.25">
      <c r="A17">
        <v>80</v>
      </c>
      <c r="B17">
        <v>656086</v>
      </c>
      <c r="C17">
        <v>95804</v>
      </c>
      <c r="D17">
        <v>0.14602353959694311</v>
      </c>
      <c r="E17">
        <v>14.602353959694311</v>
      </c>
    </row>
    <row r="18" spans="1:5" x14ac:dyDescent="0.25">
      <c r="A18">
        <v>81</v>
      </c>
      <c r="B18">
        <v>655741</v>
      </c>
      <c r="C18">
        <v>96899</v>
      </c>
      <c r="D18">
        <v>0.1477702324545819</v>
      </c>
      <c r="E18">
        <v>14.77702324545819</v>
      </c>
    </row>
    <row r="19" spans="1:5" x14ac:dyDescent="0.25">
      <c r="A19">
        <v>82</v>
      </c>
      <c r="B19">
        <v>654549</v>
      </c>
      <c r="C19">
        <v>97885</v>
      </c>
      <c r="D19">
        <v>0.14954571773847339</v>
      </c>
      <c r="E19">
        <v>14.95457177384734</v>
      </c>
    </row>
    <row r="20" spans="1:5" x14ac:dyDescent="0.25">
      <c r="A20">
        <v>83</v>
      </c>
      <c r="B20">
        <v>655893</v>
      </c>
      <c r="C20">
        <v>98957</v>
      </c>
      <c r="D20">
        <v>0.15087369433733849</v>
      </c>
      <c r="E20">
        <v>15.08736943373385</v>
      </c>
    </row>
    <row r="21" spans="1:5" x14ac:dyDescent="0.25">
      <c r="A21">
        <v>84</v>
      </c>
      <c r="B21">
        <v>654844</v>
      </c>
      <c r="C21">
        <v>99615</v>
      </c>
      <c r="D21">
        <v>0.15212019962006221</v>
      </c>
      <c r="E21">
        <v>15.21201996200622</v>
      </c>
    </row>
    <row r="22" spans="1:5" x14ac:dyDescent="0.25">
      <c r="A22">
        <v>85</v>
      </c>
      <c r="B22">
        <v>588926</v>
      </c>
      <c r="C22">
        <v>92181</v>
      </c>
      <c r="D22">
        <v>0.15652390962531801</v>
      </c>
      <c r="E22">
        <v>15.652390962531801</v>
      </c>
    </row>
    <row r="23" spans="1:5" x14ac:dyDescent="0.25">
      <c r="A23">
        <v>86</v>
      </c>
      <c r="B23">
        <v>589053</v>
      </c>
      <c r="C23">
        <v>92410</v>
      </c>
      <c r="D23">
        <v>0.15687892260968031</v>
      </c>
      <c r="E23">
        <v>15.687892260968029</v>
      </c>
    </row>
    <row r="24" spans="1:5" x14ac:dyDescent="0.25">
      <c r="A24">
        <v>87</v>
      </c>
      <c r="B24">
        <v>589693</v>
      </c>
      <c r="C24">
        <v>92733</v>
      </c>
      <c r="D24">
        <v>0.15725640290795381</v>
      </c>
      <c r="E24">
        <v>15.725640290795379</v>
      </c>
    </row>
    <row r="25" spans="1:5" x14ac:dyDescent="0.25">
      <c r="A25">
        <v>88</v>
      </c>
      <c r="B25">
        <v>587170</v>
      </c>
      <c r="C25">
        <v>91372</v>
      </c>
      <c r="D25">
        <v>0.15561421734761649</v>
      </c>
      <c r="E25">
        <v>15.561421734761661</v>
      </c>
    </row>
    <row r="26" spans="1:5" x14ac:dyDescent="0.25">
      <c r="A26">
        <v>89</v>
      </c>
      <c r="B26">
        <v>588438</v>
      </c>
      <c r="C26">
        <v>88999</v>
      </c>
      <c r="D26">
        <v>0.15124618056617689</v>
      </c>
      <c r="E26">
        <v>15.12461805661769</v>
      </c>
    </row>
    <row r="27" spans="1:5" x14ac:dyDescent="0.25">
      <c r="A27">
        <v>90</v>
      </c>
      <c r="B27">
        <v>588616</v>
      </c>
      <c r="C27">
        <v>91093</v>
      </c>
      <c r="D27">
        <v>0.15475794066080431</v>
      </c>
      <c r="E27">
        <v>15.475794066080431</v>
      </c>
    </row>
    <row r="28" spans="1:5" x14ac:dyDescent="0.25">
      <c r="A28">
        <v>91</v>
      </c>
      <c r="B28">
        <v>587351</v>
      </c>
      <c r="C28">
        <v>90283</v>
      </c>
      <c r="D28">
        <v>0.1537121755134494</v>
      </c>
      <c r="E28">
        <v>15.371217551344939</v>
      </c>
    </row>
    <row r="29" spans="1:5" x14ac:dyDescent="0.25">
      <c r="A29">
        <v>92</v>
      </c>
      <c r="B29">
        <v>589272</v>
      </c>
      <c r="C29">
        <v>89905</v>
      </c>
      <c r="D29">
        <v>0.15256961131701491</v>
      </c>
      <c r="E29">
        <v>15.256961131701489</v>
      </c>
    </row>
    <row r="30" spans="1:5" x14ac:dyDescent="0.25">
      <c r="A30">
        <v>93</v>
      </c>
      <c r="B30">
        <v>589044</v>
      </c>
      <c r="C30">
        <v>89606</v>
      </c>
      <c r="D30">
        <v>0.15212106396126601</v>
      </c>
      <c r="E30">
        <v>15.2121063961266</v>
      </c>
    </row>
    <row r="31" spans="1:5" x14ac:dyDescent="0.25">
      <c r="A31">
        <v>94</v>
      </c>
      <c r="B31">
        <v>588289</v>
      </c>
      <c r="C31">
        <v>88948</v>
      </c>
      <c r="D31">
        <v>0.15119779564125799</v>
      </c>
      <c r="E31">
        <v>15.1197795641258</v>
      </c>
    </row>
    <row r="32" spans="1:5" x14ac:dyDescent="0.25">
      <c r="A32">
        <v>95</v>
      </c>
      <c r="B32">
        <v>588594</v>
      </c>
      <c r="C32">
        <v>88406</v>
      </c>
      <c r="D32">
        <v>0.15019860888829989</v>
      </c>
      <c r="E32">
        <v>15.01986088882999</v>
      </c>
    </row>
    <row r="33" spans="1:5" x14ac:dyDescent="0.25">
      <c r="A33">
        <v>96</v>
      </c>
      <c r="B33">
        <v>586837</v>
      </c>
      <c r="C33">
        <v>88326</v>
      </c>
      <c r="D33">
        <v>0.15051198203248939</v>
      </c>
      <c r="E33">
        <v>15.051198203248941</v>
      </c>
    </row>
    <row r="34" spans="1:5" x14ac:dyDescent="0.25">
      <c r="A34">
        <v>97</v>
      </c>
      <c r="B34">
        <v>589362</v>
      </c>
      <c r="C34">
        <v>88620</v>
      </c>
      <c r="D34">
        <v>0.15036598898469869</v>
      </c>
      <c r="E34">
        <v>15.036598898469871</v>
      </c>
    </row>
    <row r="35" spans="1:5" x14ac:dyDescent="0.25">
      <c r="A35">
        <v>98</v>
      </c>
      <c r="B35">
        <v>589172</v>
      </c>
      <c r="C35">
        <v>89395</v>
      </c>
      <c r="D35">
        <v>0.15172988533059961</v>
      </c>
      <c r="E35">
        <v>15.172988533059961</v>
      </c>
    </row>
    <row r="36" spans="1:5" x14ac:dyDescent="0.25">
      <c r="A36">
        <v>99</v>
      </c>
      <c r="B36">
        <v>589886</v>
      </c>
      <c r="C36">
        <v>91251</v>
      </c>
      <c r="D36">
        <v>0.15469260162133019</v>
      </c>
      <c r="E36">
        <v>15.46926016213302</v>
      </c>
    </row>
    <row r="37" spans="1:5" x14ac:dyDescent="0.25">
      <c r="A37">
        <v>100</v>
      </c>
      <c r="B37">
        <v>587628</v>
      </c>
      <c r="C37">
        <v>92892</v>
      </c>
      <c r="D37">
        <v>0.1580796013804652</v>
      </c>
      <c r="E37">
        <v>15.80796013804652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5">
      <c r="A2">
        <v>1</v>
      </c>
      <c r="B2">
        <v>2024</v>
      </c>
      <c r="C2" t="s">
        <v>88</v>
      </c>
      <c r="D2">
        <v>0.95147657515803996</v>
      </c>
      <c r="E2">
        <v>3.9192910919955033E-2</v>
      </c>
      <c r="F2">
        <v>9.3305139220050386E-3</v>
      </c>
      <c r="G2">
        <v>0</v>
      </c>
      <c r="H2">
        <v>0</v>
      </c>
    </row>
    <row r="3" spans="1:8" x14ac:dyDescent="0.25">
      <c r="A3">
        <v>1</v>
      </c>
      <c r="B3">
        <v>2024</v>
      </c>
      <c r="C3" t="s">
        <v>90</v>
      </c>
      <c r="D3">
        <v>0</v>
      </c>
      <c r="E3">
        <v>6.4065127867077395E-2</v>
      </c>
      <c r="F3">
        <v>0.59356992648551643</v>
      </c>
      <c r="G3">
        <v>0.36566249508107151</v>
      </c>
      <c r="H3">
        <v>0</v>
      </c>
    </row>
    <row r="4" spans="1:8" x14ac:dyDescent="0.25">
      <c r="A4">
        <v>1</v>
      </c>
      <c r="B4">
        <v>2024</v>
      </c>
      <c r="C4" t="s">
        <v>91</v>
      </c>
      <c r="D4">
        <v>0</v>
      </c>
      <c r="E4">
        <v>6.4022198819851897E-2</v>
      </c>
      <c r="F4">
        <v>0</v>
      </c>
      <c r="G4">
        <v>0.56832322016615688</v>
      </c>
      <c r="H4">
        <v>0.39267171489226549</v>
      </c>
    </row>
    <row r="5" spans="1:8" x14ac:dyDescent="0.25">
      <c r="A5">
        <v>1</v>
      </c>
      <c r="B5">
        <v>2024</v>
      </c>
      <c r="C5" t="s">
        <v>92</v>
      </c>
      <c r="D5">
        <v>0</v>
      </c>
      <c r="E5">
        <v>0.28401181185403918</v>
      </c>
      <c r="F5">
        <v>0</v>
      </c>
      <c r="G5">
        <v>0</v>
      </c>
      <c r="H5">
        <v>0.73032156622116551</v>
      </c>
    </row>
    <row r="6" spans="1:8" x14ac:dyDescent="0.25">
      <c r="A6">
        <v>2</v>
      </c>
      <c r="B6">
        <v>2025</v>
      </c>
      <c r="C6" t="s">
        <v>88</v>
      </c>
      <c r="D6">
        <v>0.95172604672847716</v>
      </c>
      <c r="E6">
        <v>3.8791239660669947E-2</v>
      </c>
      <c r="F6">
        <v>9.4827136108529136E-3</v>
      </c>
      <c r="G6">
        <v>0</v>
      </c>
      <c r="H6">
        <v>0</v>
      </c>
    </row>
    <row r="7" spans="1:8" x14ac:dyDescent="0.25">
      <c r="A7">
        <v>2</v>
      </c>
      <c r="B7">
        <v>2025</v>
      </c>
      <c r="C7" t="s">
        <v>90</v>
      </c>
      <c r="D7">
        <v>0</v>
      </c>
      <c r="E7">
        <v>6.4807221469490597E-2</v>
      </c>
      <c r="F7">
        <v>0.59304357127576124</v>
      </c>
      <c r="G7">
        <v>0.36595830659155199</v>
      </c>
      <c r="H7">
        <v>0</v>
      </c>
    </row>
    <row r="8" spans="1:8" x14ac:dyDescent="0.25">
      <c r="A8">
        <v>2</v>
      </c>
      <c r="B8">
        <v>2025</v>
      </c>
      <c r="C8" t="s">
        <v>91</v>
      </c>
      <c r="D8">
        <v>0</v>
      </c>
      <c r="E8">
        <v>6.4800529702824974E-2</v>
      </c>
      <c r="F8">
        <v>0</v>
      </c>
      <c r="G8">
        <v>0.56886625982184502</v>
      </c>
      <c r="H8">
        <v>0.39159846960242928</v>
      </c>
    </row>
    <row r="9" spans="1:8" x14ac:dyDescent="0.25">
      <c r="A9">
        <v>2</v>
      </c>
      <c r="B9">
        <v>2025</v>
      </c>
      <c r="C9" t="s">
        <v>92</v>
      </c>
      <c r="D9">
        <v>0</v>
      </c>
      <c r="E9">
        <v>0.28674420478659107</v>
      </c>
      <c r="F9">
        <v>0</v>
      </c>
      <c r="G9">
        <v>0</v>
      </c>
      <c r="H9">
        <v>0.7273899379515969</v>
      </c>
    </row>
    <row r="10" spans="1:8" x14ac:dyDescent="0.25">
      <c r="A10">
        <v>3</v>
      </c>
      <c r="B10">
        <v>2026</v>
      </c>
      <c r="C10" t="s">
        <v>88</v>
      </c>
      <c r="D10">
        <v>0.95129785250807308</v>
      </c>
      <c r="E10">
        <v>3.9082916258703887E-2</v>
      </c>
      <c r="F10">
        <v>9.6192312332230717E-3</v>
      </c>
      <c r="G10">
        <v>0</v>
      </c>
      <c r="H10">
        <v>0</v>
      </c>
    </row>
    <row r="11" spans="1:8" x14ac:dyDescent="0.25">
      <c r="A11">
        <v>3</v>
      </c>
      <c r="B11">
        <v>2026</v>
      </c>
      <c r="C11" t="s">
        <v>90</v>
      </c>
      <c r="D11">
        <v>0</v>
      </c>
      <c r="E11">
        <v>6.5459734237046291E-2</v>
      </c>
      <c r="F11">
        <v>0.5931772314542314</v>
      </c>
      <c r="G11">
        <v>0.3648212557514261</v>
      </c>
      <c r="H11">
        <v>0</v>
      </c>
    </row>
    <row r="12" spans="1:8" x14ac:dyDescent="0.25">
      <c r="A12">
        <v>3</v>
      </c>
      <c r="B12">
        <v>2026</v>
      </c>
      <c r="C12" t="s">
        <v>91</v>
      </c>
      <c r="D12">
        <v>0</v>
      </c>
      <c r="E12">
        <v>6.6756919166453696E-2</v>
      </c>
      <c r="F12">
        <v>0</v>
      </c>
      <c r="G12">
        <v>0.56581410287403555</v>
      </c>
      <c r="H12">
        <v>0.39368278548684549</v>
      </c>
    </row>
    <row r="13" spans="1:8" x14ac:dyDescent="0.25">
      <c r="A13">
        <v>3</v>
      </c>
      <c r="B13">
        <v>2026</v>
      </c>
      <c r="C13" t="s">
        <v>92</v>
      </c>
      <c r="D13">
        <v>0</v>
      </c>
      <c r="E13">
        <v>0.28885040349113689</v>
      </c>
      <c r="F13">
        <v>0</v>
      </c>
      <c r="G13">
        <v>0</v>
      </c>
      <c r="H13">
        <v>0.72626386180781788</v>
      </c>
    </row>
    <row r="14" spans="1:8" x14ac:dyDescent="0.25">
      <c r="A14">
        <v>4</v>
      </c>
      <c r="B14">
        <v>2027</v>
      </c>
      <c r="C14" t="s">
        <v>88</v>
      </c>
      <c r="D14">
        <v>0.95080315025616979</v>
      </c>
      <c r="E14">
        <v>3.9375534011252843E-2</v>
      </c>
      <c r="F14">
        <v>9.8213157325773917E-3</v>
      </c>
      <c r="G14">
        <v>0</v>
      </c>
      <c r="H14">
        <v>0</v>
      </c>
    </row>
    <row r="15" spans="1:8" x14ac:dyDescent="0.25">
      <c r="A15">
        <v>4</v>
      </c>
      <c r="B15">
        <v>2027</v>
      </c>
      <c r="C15" t="s">
        <v>90</v>
      </c>
      <c r="D15">
        <v>0</v>
      </c>
      <c r="E15">
        <v>6.5219747371806747E-2</v>
      </c>
      <c r="F15">
        <v>0.59257148650680169</v>
      </c>
      <c r="G15">
        <v>0.36564662119405811</v>
      </c>
      <c r="H15">
        <v>0</v>
      </c>
    </row>
    <row r="16" spans="1:8" x14ac:dyDescent="0.25">
      <c r="A16">
        <v>4</v>
      </c>
      <c r="B16">
        <v>2027</v>
      </c>
      <c r="C16" t="s">
        <v>91</v>
      </c>
      <c r="D16">
        <v>0</v>
      </c>
      <c r="E16">
        <v>6.8035511108449603E-2</v>
      </c>
      <c r="F16">
        <v>0</v>
      </c>
      <c r="G16">
        <v>0.56689023294808072</v>
      </c>
      <c r="H16">
        <v>0.39166641715072759</v>
      </c>
    </row>
    <row r="17" spans="1:8" x14ac:dyDescent="0.25">
      <c r="A17">
        <v>4</v>
      </c>
      <c r="B17">
        <v>2027</v>
      </c>
      <c r="C17" t="s">
        <v>92</v>
      </c>
      <c r="D17">
        <v>0</v>
      </c>
      <c r="E17">
        <v>0.29045361984233159</v>
      </c>
      <c r="F17">
        <v>0</v>
      </c>
      <c r="G17">
        <v>0</v>
      </c>
      <c r="H17">
        <v>0.72456225528035567</v>
      </c>
    </row>
    <row r="18" spans="1:8" x14ac:dyDescent="0.25">
      <c r="A18">
        <v>5</v>
      </c>
      <c r="B18">
        <v>2028</v>
      </c>
      <c r="C18" t="s">
        <v>88</v>
      </c>
      <c r="D18">
        <v>0.95043618932999574</v>
      </c>
      <c r="E18">
        <v>3.9560281827213238E-2</v>
      </c>
      <c r="F18">
        <v>1.000352884279106E-2</v>
      </c>
      <c r="G18">
        <v>0</v>
      </c>
      <c r="H18">
        <v>0</v>
      </c>
    </row>
    <row r="19" spans="1:8" x14ac:dyDescent="0.25">
      <c r="A19">
        <v>5</v>
      </c>
      <c r="B19">
        <v>2028</v>
      </c>
      <c r="C19" t="s">
        <v>90</v>
      </c>
      <c r="D19">
        <v>0</v>
      </c>
      <c r="E19">
        <v>6.4570867196570514E-2</v>
      </c>
      <c r="F19">
        <v>0.59334107350183085</v>
      </c>
      <c r="G19">
        <v>0.36570152719478433</v>
      </c>
      <c r="H19">
        <v>0</v>
      </c>
    </row>
    <row r="20" spans="1:8" x14ac:dyDescent="0.25">
      <c r="A20">
        <v>5</v>
      </c>
      <c r="B20">
        <v>2028</v>
      </c>
      <c r="C20" t="s">
        <v>91</v>
      </c>
      <c r="D20">
        <v>0</v>
      </c>
      <c r="E20">
        <v>6.7684792678476186E-2</v>
      </c>
      <c r="F20">
        <v>0</v>
      </c>
      <c r="G20">
        <v>0.56658792766706634</v>
      </c>
      <c r="H20">
        <v>0.392669653133986</v>
      </c>
    </row>
    <row r="21" spans="1:8" x14ac:dyDescent="0.25">
      <c r="A21">
        <v>5</v>
      </c>
      <c r="B21">
        <v>2028</v>
      </c>
      <c r="C21" t="s">
        <v>92</v>
      </c>
      <c r="D21">
        <v>0</v>
      </c>
      <c r="E21">
        <v>0.29103684807627989</v>
      </c>
      <c r="F21">
        <v>0</v>
      </c>
      <c r="G21">
        <v>0</v>
      </c>
      <c r="H21">
        <v>0.72457718816192429</v>
      </c>
    </row>
    <row r="22" spans="1:8" x14ac:dyDescent="0.25">
      <c r="A22">
        <v>6</v>
      </c>
      <c r="B22">
        <v>2029</v>
      </c>
      <c r="C22" t="s">
        <v>88</v>
      </c>
      <c r="D22">
        <v>0.9501596801867801</v>
      </c>
      <c r="E22">
        <v>3.9671931840749498E-2</v>
      </c>
      <c r="F22">
        <v>1.01683879724704E-2</v>
      </c>
      <c r="G22">
        <v>0</v>
      </c>
      <c r="H22">
        <v>0</v>
      </c>
    </row>
    <row r="23" spans="1:8" x14ac:dyDescent="0.25">
      <c r="A23">
        <v>6</v>
      </c>
      <c r="B23">
        <v>2029</v>
      </c>
      <c r="C23" t="s">
        <v>90</v>
      </c>
      <c r="D23">
        <v>0</v>
      </c>
      <c r="E23">
        <v>6.4778339185293021E-2</v>
      </c>
      <c r="F23">
        <v>0.59450201250321144</v>
      </c>
      <c r="G23">
        <v>0.36461990808141359</v>
      </c>
      <c r="H23">
        <v>0</v>
      </c>
    </row>
    <row r="24" spans="1:8" x14ac:dyDescent="0.25">
      <c r="A24">
        <v>6</v>
      </c>
      <c r="B24">
        <v>2029</v>
      </c>
      <c r="C24" t="s">
        <v>91</v>
      </c>
      <c r="D24">
        <v>0</v>
      </c>
      <c r="E24">
        <v>6.6981386793567216E-2</v>
      </c>
      <c r="F24">
        <v>0</v>
      </c>
      <c r="G24">
        <v>0.56596044482694607</v>
      </c>
      <c r="H24">
        <v>0.39315547005518148</v>
      </c>
    </row>
    <row r="25" spans="1:8" x14ac:dyDescent="0.25">
      <c r="A25">
        <v>6</v>
      </c>
      <c r="B25">
        <v>2029</v>
      </c>
      <c r="C25" t="s">
        <v>92</v>
      </c>
      <c r="D25">
        <v>0</v>
      </c>
      <c r="E25">
        <v>0.29154066936599871</v>
      </c>
      <c r="F25">
        <v>0</v>
      </c>
      <c r="G25">
        <v>0</v>
      </c>
      <c r="H25">
        <v>0.72434139716057611</v>
      </c>
    </row>
    <row r="26" spans="1:8" x14ac:dyDescent="0.25">
      <c r="A26">
        <v>7</v>
      </c>
      <c r="B26">
        <v>2030</v>
      </c>
      <c r="C26" t="s">
        <v>88</v>
      </c>
      <c r="D26">
        <v>0.94968624645609767</v>
      </c>
      <c r="E26">
        <v>3.996831800993704E-2</v>
      </c>
      <c r="F26">
        <v>1.0345435533965301E-2</v>
      </c>
      <c r="G26">
        <v>0</v>
      </c>
      <c r="H26">
        <v>0</v>
      </c>
    </row>
    <row r="27" spans="1:8" x14ac:dyDescent="0.25">
      <c r="A27">
        <v>7</v>
      </c>
      <c r="B27">
        <v>2030</v>
      </c>
      <c r="C27" t="s">
        <v>90</v>
      </c>
      <c r="D27">
        <v>0</v>
      </c>
      <c r="E27">
        <v>6.3752994522793552E-2</v>
      </c>
      <c r="F27">
        <v>0.59357861743630158</v>
      </c>
      <c r="G27">
        <v>0.3658225131829359</v>
      </c>
      <c r="H27">
        <v>0</v>
      </c>
    </row>
    <row r="28" spans="1:8" x14ac:dyDescent="0.25">
      <c r="A28">
        <v>7</v>
      </c>
      <c r="B28">
        <v>2030</v>
      </c>
      <c r="C28" t="s">
        <v>91</v>
      </c>
      <c r="D28">
        <v>0</v>
      </c>
      <c r="E28">
        <v>6.7005168982620544E-2</v>
      </c>
      <c r="F28">
        <v>0</v>
      </c>
      <c r="G28">
        <v>0.56630189122927721</v>
      </c>
      <c r="H28">
        <v>0.39296896433097173</v>
      </c>
    </row>
    <row r="29" spans="1:8" x14ac:dyDescent="0.25">
      <c r="A29">
        <v>7</v>
      </c>
      <c r="B29">
        <v>2030</v>
      </c>
      <c r="C29" t="s">
        <v>92</v>
      </c>
      <c r="D29">
        <v>0</v>
      </c>
      <c r="E29">
        <v>0.29289938938708771</v>
      </c>
      <c r="F29">
        <v>0</v>
      </c>
      <c r="G29">
        <v>0</v>
      </c>
      <c r="H29">
        <v>0.72284816432896448</v>
      </c>
    </row>
    <row r="30" spans="1:8" x14ac:dyDescent="0.25">
      <c r="A30">
        <v>8</v>
      </c>
      <c r="B30">
        <v>2031</v>
      </c>
      <c r="C30" t="s">
        <v>88</v>
      </c>
      <c r="D30">
        <v>0.94947216503254073</v>
      </c>
      <c r="E30">
        <v>4.0059525203839527E-2</v>
      </c>
      <c r="F30">
        <v>1.0468309763619789E-2</v>
      </c>
      <c r="G30">
        <v>0</v>
      </c>
      <c r="H30">
        <v>0</v>
      </c>
    </row>
    <row r="31" spans="1:8" x14ac:dyDescent="0.25">
      <c r="A31">
        <v>8</v>
      </c>
      <c r="B31">
        <v>2031</v>
      </c>
      <c r="C31" t="s">
        <v>90</v>
      </c>
      <c r="D31">
        <v>0</v>
      </c>
      <c r="E31">
        <v>6.3339148903891376E-2</v>
      </c>
      <c r="F31">
        <v>0.59411914793846066</v>
      </c>
      <c r="G31">
        <v>0.36582582251246443</v>
      </c>
      <c r="H31">
        <v>0</v>
      </c>
    </row>
    <row r="32" spans="1:8" x14ac:dyDescent="0.25">
      <c r="A32">
        <v>8</v>
      </c>
      <c r="B32">
        <v>2031</v>
      </c>
      <c r="C32" t="s">
        <v>91</v>
      </c>
      <c r="D32">
        <v>0</v>
      </c>
      <c r="E32">
        <v>6.5555824228968371E-2</v>
      </c>
      <c r="F32">
        <v>0</v>
      </c>
      <c r="G32">
        <v>0.56616913235585065</v>
      </c>
      <c r="H32">
        <v>0.39403398474423512</v>
      </c>
    </row>
    <row r="33" spans="1:8" x14ac:dyDescent="0.25">
      <c r="A33">
        <v>8</v>
      </c>
      <c r="B33">
        <v>2031</v>
      </c>
      <c r="C33" t="s">
        <v>92</v>
      </c>
      <c r="D33">
        <v>0</v>
      </c>
      <c r="E33">
        <v>0.2932046588161043</v>
      </c>
      <c r="F33">
        <v>0</v>
      </c>
      <c r="G33">
        <v>0</v>
      </c>
      <c r="H33">
        <v>0.7224352843816314</v>
      </c>
    </row>
    <row r="34" spans="1:8" x14ac:dyDescent="0.25">
      <c r="A34">
        <v>9</v>
      </c>
      <c r="B34">
        <v>2032</v>
      </c>
      <c r="C34" t="s">
        <v>88</v>
      </c>
      <c r="D34">
        <v>0.94939512119064773</v>
      </c>
      <c r="E34">
        <v>3.9906976062377537E-2</v>
      </c>
      <c r="F34">
        <v>1.0697902746974689E-2</v>
      </c>
      <c r="G34">
        <v>0</v>
      </c>
      <c r="H34">
        <v>0</v>
      </c>
    </row>
    <row r="35" spans="1:8" x14ac:dyDescent="0.25">
      <c r="A35">
        <v>9</v>
      </c>
      <c r="B35">
        <v>2032</v>
      </c>
      <c r="C35" t="s">
        <v>90</v>
      </c>
      <c r="D35">
        <v>0</v>
      </c>
      <c r="E35">
        <v>6.1565283074858278E-2</v>
      </c>
      <c r="F35">
        <v>0.59494447760388736</v>
      </c>
      <c r="G35">
        <v>0.36621850836461001</v>
      </c>
      <c r="H35">
        <v>0</v>
      </c>
    </row>
    <row r="36" spans="1:8" x14ac:dyDescent="0.25">
      <c r="A36">
        <v>9</v>
      </c>
      <c r="B36">
        <v>2032</v>
      </c>
      <c r="C36" t="s">
        <v>91</v>
      </c>
      <c r="D36">
        <v>0</v>
      </c>
      <c r="E36">
        <v>6.3746032859322121E-2</v>
      </c>
      <c r="F36">
        <v>0</v>
      </c>
      <c r="G36">
        <v>0.56580631586330243</v>
      </c>
      <c r="H36">
        <v>0.39593379039469762</v>
      </c>
    </row>
    <row r="37" spans="1:8" x14ac:dyDescent="0.25">
      <c r="A37">
        <v>9</v>
      </c>
      <c r="B37">
        <v>2032</v>
      </c>
      <c r="C37" t="s">
        <v>92</v>
      </c>
      <c r="D37">
        <v>0</v>
      </c>
      <c r="E37">
        <v>0.29072209114011138</v>
      </c>
      <c r="F37">
        <v>0</v>
      </c>
      <c r="G37">
        <v>0</v>
      </c>
      <c r="H37">
        <v>0.72428834314015045</v>
      </c>
    </row>
    <row r="38" spans="1:8" x14ac:dyDescent="0.25">
      <c r="A38">
        <v>10</v>
      </c>
      <c r="B38">
        <v>2033</v>
      </c>
      <c r="C38" t="s">
        <v>88</v>
      </c>
      <c r="D38">
        <v>0.94905788274208547</v>
      </c>
      <c r="E38">
        <v>4.0010064844946201E-2</v>
      </c>
      <c r="F38">
        <v>1.0932052412968331E-2</v>
      </c>
      <c r="G38">
        <v>0</v>
      </c>
      <c r="H38">
        <v>0</v>
      </c>
    </row>
    <row r="39" spans="1:8" x14ac:dyDescent="0.25">
      <c r="A39">
        <v>10</v>
      </c>
      <c r="B39">
        <v>2033</v>
      </c>
      <c r="C39" t="s">
        <v>90</v>
      </c>
      <c r="D39">
        <v>0</v>
      </c>
      <c r="E39">
        <v>6.1160093416253378E-2</v>
      </c>
      <c r="F39">
        <v>0.5950070849405652</v>
      </c>
      <c r="G39">
        <v>0.3663996693694403</v>
      </c>
      <c r="H39">
        <v>0</v>
      </c>
    </row>
    <row r="40" spans="1:8" x14ac:dyDescent="0.25">
      <c r="A40">
        <v>10</v>
      </c>
      <c r="B40">
        <v>2033</v>
      </c>
      <c r="C40" t="s">
        <v>91</v>
      </c>
      <c r="D40">
        <v>0</v>
      </c>
      <c r="E40">
        <v>6.2866174464676211E-2</v>
      </c>
      <c r="F40">
        <v>0</v>
      </c>
      <c r="G40">
        <v>0.56772684954640917</v>
      </c>
      <c r="H40">
        <v>0.39414553878797071</v>
      </c>
    </row>
    <row r="41" spans="1:8" x14ac:dyDescent="0.25">
      <c r="A41">
        <v>10</v>
      </c>
      <c r="B41">
        <v>2033</v>
      </c>
      <c r="C41" t="s">
        <v>92</v>
      </c>
      <c r="D41">
        <v>0</v>
      </c>
      <c r="E41">
        <v>0.2901048183960348</v>
      </c>
      <c r="F41">
        <v>0</v>
      </c>
      <c r="G41">
        <v>0</v>
      </c>
      <c r="H41">
        <v>0.72515804013975782</v>
      </c>
    </row>
    <row r="42" spans="1:8" x14ac:dyDescent="0.25">
      <c r="A42">
        <v>11</v>
      </c>
      <c r="B42">
        <v>2034</v>
      </c>
      <c r="C42" t="s">
        <v>88</v>
      </c>
      <c r="D42">
        <v>0.94906180990714073</v>
      </c>
      <c r="E42">
        <v>3.9870542196243003E-2</v>
      </c>
      <c r="F42">
        <v>1.1067647896616319E-2</v>
      </c>
      <c r="G42">
        <v>0</v>
      </c>
      <c r="H42">
        <v>0</v>
      </c>
    </row>
    <row r="43" spans="1:8" x14ac:dyDescent="0.25">
      <c r="A43">
        <v>11</v>
      </c>
      <c r="B43">
        <v>2034</v>
      </c>
      <c r="C43" t="s">
        <v>90</v>
      </c>
      <c r="D43">
        <v>0</v>
      </c>
      <c r="E43">
        <v>5.973323146468023E-2</v>
      </c>
      <c r="F43">
        <v>0.59659058351637861</v>
      </c>
      <c r="G43">
        <v>0.36528825645433421</v>
      </c>
      <c r="H43">
        <v>0</v>
      </c>
    </row>
    <row r="44" spans="1:8" x14ac:dyDescent="0.25">
      <c r="A44">
        <v>11</v>
      </c>
      <c r="B44">
        <v>2034</v>
      </c>
      <c r="C44" t="s">
        <v>91</v>
      </c>
      <c r="D44">
        <v>0</v>
      </c>
      <c r="E44">
        <v>6.1742104750077353E-2</v>
      </c>
      <c r="F44">
        <v>0</v>
      </c>
      <c r="G44">
        <v>0.56896237491152146</v>
      </c>
      <c r="H44">
        <v>0.3934633985072033</v>
      </c>
    </row>
    <row r="45" spans="1:8" x14ac:dyDescent="0.25">
      <c r="A45">
        <v>11</v>
      </c>
      <c r="B45">
        <v>2034</v>
      </c>
      <c r="C45" t="s">
        <v>92</v>
      </c>
      <c r="D45">
        <v>0</v>
      </c>
      <c r="E45">
        <v>0.28791071972816468</v>
      </c>
      <c r="F45">
        <v>0</v>
      </c>
      <c r="G45">
        <v>0</v>
      </c>
      <c r="H45">
        <v>0.7264365058264326</v>
      </c>
    </row>
    <row r="46" spans="1:8" x14ac:dyDescent="0.25">
      <c r="A46">
        <v>12</v>
      </c>
      <c r="B46">
        <v>2035</v>
      </c>
      <c r="C46" t="s">
        <v>88</v>
      </c>
      <c r="D46">
        <v>0.94873386586330566</v>
      </c>
      <c r="E46">
        <v>3.9960964581739061E-2</v>
      </c>
      <c r="F46">
        <v>1.130516955495525E-2</v>
      </c>
      <c r="G46">
        <v>0</v>
      </c>
      <c r="H46">
        <v>0</v>
      </c>
    </row>
    <row r="47" spans="1:8" x14ac:dyDescent="0.25">
      <c r="A47">
        <v>12</v>
      </c>
      <c r="B47">
        <v>2035</v>
      </c>
      <c r="C47" t="s">
        <v>90</v>
      </c>
      <c r="D47">
        <v>0</v>
      </c>
      <c r="E47">
        <v>5.963744148414464E-2</v>
      </c>
      <c r="F47">
        <v>0.59826177356027022</v>
      </c>
      <c r="G47">
        <v>0.36380850425274519</v>
      </c>
      <c r="H47">
        <v>0</v>
      </c>
    </row>
    <row r="48" spans="1:8" x14ac:dyDescent="0.25">
      <c r="A48">
        <v>12</v>
      </c>
      <c r="B48">
        <v>2035</v>
      </c>
      <c r="C48" t="s">
        <v>91</v>
      </c>
      <c r="D48">
        <v>0</v>
      </c>
      <c r="E48">
        <v>6.146674594130374E-2</v>
      </c>
      <c r="F48">
        <v>0</v>
      </c>
      <c r="G48">
        <v>0.56722654379097925</v>
      </c>
      <c r="H48">
        <v>0.39564237229351429</v>
      </c>
    </row>
    <row r="49" spans="1:8" x14ac:dyDescent="0.25">
      <c r="A49">
        <v>12</v>
      </c>
      <c r="B49">
        <v>2035</v>
      </c>
      <c r="C49" t="s">
        <v>92</v>
      </c>
      <c r="D49">
        <v>0</v>
      </c>
      <c r="E49">
        <v>0.28809555945471721</v>
      </c>
      <c r="F49">
        <v>0</v>
      </c>
      <c r="G49">
        <v>0</v>
      </c>
      <c r="H49">
        <v>0.72677053005032488</v>
      </c>
    </row>
    <row r="50" spans="1:8" x14ac:dyDescent="0.25">
      <c r="A50">
        <v>13</v>
      </c>
      <c r="B50">
        <v>2036</v>
      </c>
      <c r="C50" t="s">
        <v>88</v>
      </c>
      <c r="D50">
        <v>0.94849814040259983</v>
      </c>
      <c r="E50">
        <v>4.0038030864123553E-2</v>
      </c>
      <c r="F50">
        <v>1.146382873327661E-2</v>
      </c>
      <c r="G50">
        <v>0</v>
      </c>
      <c r="H50">
        <v>0</v>
      </c>
    </row>
    <row r="51" spans="1:8" x14ac:dyDescent="0.25">
      <c r="A51">
        <v>13</v>
      </c>
      <c r="B51">
        <v>2036</v>
      </c>
      <c r="C51" t="s">
        <v>90</v>
      </c>
      <c r="D51">
        <v>0</v>
      </c>
      <c r="E51">
        <v>5.8498101937642807E-2</v>
      </c>
      <c r="F51">
        <v>0.59640837426311399</v>
      </c>
      <c r="G51">
        <v>0.36657491199347519</v>
      </c>
      <c r="H51">
        <v>0</v>
      </c>
    </row>
    <row r="52" spans="1:8" x14ac:dyDescent="0.25">
      <c r="A52">
        <v>13</v>
      </c>
      <c r="B52">
        <v>2036</v>
      </c>
      <c r="C52" t="s">
        <v>91</v>
      </c>
      <c r="D52">
        <v>0</v>
      </c>
      <c r="E52">
        <v>5.9677835675222217E-2</v>
      </c>
      <c r="F52">
        <v>0</v>
      </c>
      <c r="G52">
        <v>0.56980495910432838</v>
      </c>
      <c r="H52">
        <v>0.39426008679239188</v>
      </c>
    </row>
    <row r="53" spans="1:8" x14ac:dyDescent="0.25">
      <c r="A53">
        <v>13</v>
      </c>
      <c r="B53">
        <v>2036</v>
      </c>
      <c r="C53" t="s">
        <v>92</v>
      </c>
      <c r="D53">
        <v>0</v>
      </c>
      <c r="E53">
        <v>0.2844465395274674</v>
      </c>
      <c r="F53">
        <v>0</v>
      </c>
      <c r="G53">
        <v>0</v>
      </c>
      <c r="H53">
        <v>0.72977436377671756</v>
      </c>
    </row>
    <row r="54" spans="1:8" x14ac:dyDescent="0.25">
      <c r="A54">
        <v>14</v>
      </c>
      <c r="B54">
        <v>2037</v>
      </c>
      <c r="C54" t="s">
        <v>88</v>
      </c>
      <c r="D54">
        <v>0.95386965632337428</v>
      </c>
      <c r="E54">
        <v>3.4327842213841032E-2</v>
      </c>
      <c r="F54">
        <v>1.180250146278471E-2</v>
      </c>
      <c r="G54">
        <v>0</v>
      </c>
      <c r="H54">
        <v>0</v>
      </c>
    </row>
    <row r="55" spans="1:8" x14ac:dyDescent="0.25">
      <c r="A55">
        <v>14</v>
      </c>
      <c r="B55">
        <v>2037</v>
      </c>
      <c r="C55" t="s">
        <v>90</v>
      </c>
      <c r="D55">
        <v>0</v>
      </c>
      <c r="E55">
        <v>4.4339104631057523E-2</v>
      </c>
      <c r="F55">
        <v>0.60698221879527081</v>
      </c>
      <c r="G55">
        <v>0.36491483246880702</v>
      </c>
      <c r="H55">
        <v>0</v>
      </c>
    </row>
    <row r="56" spans="1:8" x14ac:dyDescent="0.25">
      <c r="A56">
        <v>14</v>
      </c>
      <c r="B56">
        <v>2037</v>
      </c>
      <c r="C56" t="s">
        <v>91</v>
      </c>
      <c r="D56">
        <v>0</v>
      </c>
      <c r="E56">
        <v>4.5449935639895467E-2</v>
      </c>
      <c r="F56">
        <v>0</v>
      </c>
      <c r="G56">
        <v>0.57896399734758353</v>
      </c>
      <c r="H56">
        <v>0.3933806607637399</v>
      </c>
    </row>
    <row r="57" spans="1:8" x14ac:dyDescent="0.25">
      <c r="A57">
        <v>14</v>
      </c>
      <c r="B57">
        <v>2037</v>
      </c>
      <c r="C57" t="s">
        <v>92</v>
      </c>
      <c r="D57">
        <v>0</v>
      </c>
      <c r="E57">
        <v>0.26896592350072401</v>
      </c>
      <c r="F57">
        <v>0</v>
      </c>
      <c r="G57">
        <v>0</v>
      </c>
      <c r="H57">
        <v>0.74144212017771494</v>
      </c>
    </row>
    <row r="58" spans="1:8" x14ac:dyDescent="0.25">
      <c r="A58">
        <v>15</v>
      </c>
      <c r="B58">
        <v>2038</v>
      </c>
      <c r="C58" t="s">
        <v>88</v>
      </c>
      <c r="D58">
        <v>0.94684633999909007</v>
      </c>
      <c r="E58">
        <v>4.1162196802031953E-2</v>
      </c>
      <c r="F58">
        <v>1.199146319887801E-2</v>
      </c>
      <c r="G58">
        <v>0</v>
      </c>
      <c r="H58">
        <v>0</v>
      </c>
    </row>
    <row r="59" spans="1:8" x14ac:dyDescent="0.25">
      <c r="A59">
        <v>15</v>
      </c>
      <c r="B59">
        <v>2038</v>
      </c>
      <c r="C59" t="s">
        <v>90</v>
      </c>
      <c r="D59">
        <v>0</v>
      </c>
      <c r="E59">
        <v>5.9965201018752787E-2</v>
      </c>
      <c r="F59">
        <v>0.5968641690972718</v>
      </c>
      <c r="G59">
        <v>0.36519877727251082</v>
      </c>
      <c r="H59">
        <v>0</v>
      </c>
    </row>
    <row r="60" spans="1:8" x14ac:dyDescent="0.25">
      <c r="A60">
        <v>15</v>
      </c>
      <c r="B60">
        <v>2038</v>
      </c>
      <c r="C60" t="s">
        <v>91</v>
      </c>
      <c r="D60">
        <v>0</v>
      </c>
      <c r="E60">
        <v>6.1013177203326233E-2</v>
      </c>
      <c r="F60">
        <v>0</v>
      </c>
      <c r="G60">
        <v>0.57114158865767273</v>
      </c>
      <c r="H60">
        <v>0.3919816587070733</v>
      </c>
    </row>
    <row r="61" spans="1:8" x14ac:dyDescent="0.25">
      <c r="A61">
        <v>15</v>
      </c>
      <c r="B61">
        <v>2038</v>
      </c>
      <c r="C61" t="s">
        <v>92</v>
      </c>
      <c r="D61">
        <v>0</v>
      </c>
      <c r="E61">
        <v>0.28621214966923347</v>
      </c>
      <c r="F61">
        <v>0</v>
      </c>
      <c r="G61">
        <v>0</v>
      </c>
      <c r="H61">
        <v>0.72792182045296672</v>
      </c>
    </row>
    <row r="62" spans="1:8" x14ac:dyDescent="0.25">
      <c r="A62">
        <v>16</v>
      </c>
      <c r="B62">
        <v>2039</v>
      </c>
      <c r="C62" t="s">
        <v>88</v>
      </c>
      <c r="D62">
        <v>0.94626547817091244</v>
      </c>
      <c r="E62">
        <v>4.1561878308598671E-2</v>
      </c>
      <c r="F62">
        <v>1.217264352048889E-2</v>
      </c>
      <c r="G62">
        <v>0</v>
      </c>
      <c r="H62">
        <v>0</v>
      </c>
    </row>
    <row r="63" spans="1:8" x14ac:dyDescent="0.25">
      <c r="A63">
        <v>16</v>
      </c>
      <c r="B63">
        <v>2039</v>
      </c>
      <c r="C63" t="s">
        <v>90</v>
      </c>
      <c r="D63">
        <v>0</v>
      </c>
      <c r="E63">
        <v>5.9902367186647758E-2</v>
      </c>
      <c r="F63">
        <v>0.59693465692156644</v>
      </c>
      <c r="G63">
        <v>0.36515763063161338</v>
      </c>
      <c r="H63">
        <v>0</v>
      </c>
    </row>
    <row r="64" spans="1:8" x14ac:dyDescent="0.25">
      <c r="A64">
        <v>16</v>
      </c>
      <c r="B64">
        <v>2039</v>
      </c>
      <c r="C64" t="s">
        <v>91</v>
      </c>
      <c r="D64">
        <v>0</v>
      </c>
      <c r="E64">
        <v>6.1095418932754379E-2</v>
      </c>
      <c r="F64">
        <v>0</v>
      </c>
      <c r="G64">
        <v>0.56888664599655825</v>
      </c>
      <c r="H64">
        <v>0.39397250923982891</v>
      </c>
    </row>
    <row r="65" spans="1:8" x14ac:dyDescent="0.25">
      <c r="A65">
        <v>16</v>
      </c>
      <c r="B65">
        <v>2039</v>
      </c>
      <c r="C65" t="s">
        <v>92</v>
      </c>
      <c r="D65">
        <v>0</v>
      </c>
      <c r="E65">
        <v>0.28498141133762489</v>
      </c>
      <c r="F65">
        <v>0</v>
      </c>
      <c r="G65">
        <v>0</v>
      </c>
      <c r="H65">
        <v>0.72904908924308831</v>
      </c>
    </row>
    <row r="66" spans="1:8" x14ac:dyDescent="0.25">
      <c r="A66">
        <v>17</v>
      </c>
      <c r="B66">
        <v>2040</v>
      </c>
      <c r="C66" t="s">
        <v>88</v>
      </c>
      <c r="D66">
        <v>0.94534860513961083</v>
      </c>
      <c r="E66">
        <v>4.2358395494407869E-2</v>
      </c>
      <c r="F66">
        <v>1.22929993659813E-2</v>
      </c>
      <c r="G66">
        <v>0</v>
      </c>
      <c r="H66">
        <v>0</v>
      </c>
    </row>
    <row r="67" spans="1:8" x14ac:dyDescent="0.25">
      <c r="A67">
        <v>17</v>
      </c>
      <c r="B67">
        <v>2040</v>
      </c>
      <c r="C67" t="s">
        <v>90</v>
      </c>
      <c r="D67">
        <v>0</v>
      </c>
      <c r="E67">
        <v>6.1596082280619163E-2</v>
      </c>
      <c r="F67">
        <v>0.59382655951991448</v>
      </c>
      <c r="G67">
        <v>0.36700954691394477</v>
      </c>
      <c r="H67">
        <v>0</v>
      </c>
    </row>
    <row r="68" spans="1:8" x14ac:dyDescent="0.25">
      <c r="A68">
        <v>17</v>
      </c>
      <c r="B68">
        <v>2040</v>
      </c>
      <c r="C68" t="s">
        <v>91</v>
      </c>
      <c r="D68">
        <v>0</v>
      </c>
      <c r="E68">
        <v>6.2759270008919593E-2</v>
      </c>
      <c r="F68">
        <v>0</v>
      </c>
      <c r="G68">
        <v>0.56938879528818787</v>
      </c>
      <c r="H68">
        <v>0.39251886565389132</v>
      </c>
    </row>
    <row r="69" spans="1:8" x14ac:dyDescent="0.25">
      <c r="A69">
        <v>17</v>
      </c>
      <c r="B69">
        <v>2040</v>
      </c>
      <c r="C69" t="s">
        <v>92</v>
      </c>
      <c r="D69">
        <v>0</v>
      </c>
      <c r="E69">
        <v>0.28564118163804297</v>
      </c>
      <c r="F69">
        <v>0</v>
      </c>
      <c r="G69">
        <v>0</v>
      </c>
      <c r="H69">
        <v>0.72861614389806373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x14ac:dyDescent="0.25">
      <c r="A2" t="s">
        <v>88</v>
      </c>
      <c r="B2">
        <v>0.94953734149382019</v>
      </c>
      <c r="C2">
        <v>3.9699973476507638E-2</v>
      </c>
      <c r="D2">
        <v>1.07626850296723E-2</v>
      </c>
      <c r="E2">
        <v>0</v>
      </c>
      <c r="F2">
        <v>0</v>
      </c>
    </row>
    <row r="3" spans="1:6" x14ac:dyDescent="0.25">
      <c r="A3" t="s">
        <v>90</v>
      </c>
      <c r="B3">
        <v>0</v>
      </c>
      <c r="C3">
        <v>6.1317063955801533E-2</v>
      </c>
      <c r="D3">
        <v>0.59551311560707965</v>
      </c>
      <c r="E3">
        <v>0.365566416900658</v>
      </c>
      <c r="F3">
        <v>0</v>
      </c>
    </row>
    <row r="4" spans="1:6" x14ac:dyDescent="0.25">
      <c r="A4" t="s">
        <v>91</v>
      </c>
      <c r="B4">
        <v>0</v>
      </c>
      <c r="C4">
        <v>6.2979942762159402E-2</v>
      </c>
      <c r="D4">
        <v>0</v>
      </c>
      <c r="E4">
        <v>0.5684012519056354</v>
      </c>
      <c r="F4">
        <v>0.3933968435609973</v>
      </c>
    </row>
    <row r="5" spans="1:6" x14ac:dyDescent="0.25">
      <c r="A5" t="s">
        <v>92</v>
      </c>
      <c r="B5">
        <v>0</v>
      </c>
      <c r="C5">
        <v>0.2874012941183347</v>
      </c>
      <c r="D5">
        <v>0</v>
      </c>
      <c r="E5">
        <v>0</v>
      </c>
      <c r="F5">
        <v>0.72718803599995585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5">
      <c r="A2">
        <v>1</v>
      </c>
      <c r="B2">
        <v>2024</v>
      </c>
      <c r="C2" t="s">
        <v>88</v>
      </c>
      <c r="D2">
        <v>10170551</v>
      </c>
      <c r="E2">
        <v>418942</v>
      </c>
      <c r="F2">
        <v>99736</v>
      </c>
      <c r="G2">
        <v>0</v>
      </c>
      <c r="H2">
        <v>0</v>
      </c>
    </row>
    <row r="3" spans="1:8" x14ac:dyDescent="0.25">
      <c r="A3">
        <v>1</v>
      </c>
      <c r="B3">
        <v>2024</v>
      </c>
      <c r="C3" t="s">
        <v>90</v>
      </c>
      <c r="D3">
        <v>0</v>
      </c>
      <c r="E3">
        <v>25560</v>
      </c>
      <c r="F3">
        <v>236816</v>
      </c>
      <c r="G3">
        <v>145888</v>
      </c>
      <c r="H3">
        <v>0</v>
      </c>
    </row>
    <row r="4" spans="1:8" x14ac:dyDescent="0.25">
      <c r="A4">
        <v>1</v>
      </c>
      <c r="B4">
        <v>2024</v>
      </c>
      <c r="C4" t="s">
        <v>91</v>
      </c>
      <c r="D4">
        <v>0</v>
      </c>
      <c r="E4">
        <v>19150</v>
      </c>
      <c r="F4">
        <v>0</v>
      </c>
      <c r="G4">
        <v>169994</v>
      </c>
      <c r="H4">
        <v>117454</v>
      </c>
    </row>
    <row r="5" spans="1:8" x14ac:dyDescent="0.25">
      <c r="A5">
        <v>1</v>
      </c>
      <c r="B5">
        <v>2024</v>
      </c>
      <c r="C5" t="s">
        <v>92</v>
      </c>
      <c r="D5">
        <v>0</v>
      </c>
      <c r="E5">
        <v>29623</v>
      </c>
      <c r="F5">
        <v>0</v>
      </c>
      <c r="G5">
        <v>0</v>
      </c>
      <c r="H5">
        <v>76174</v>
      </c>
    </row>
    <row r="6" spans="1:8" x14ac:dyDescent="0.25">
      <c r="A6">
        <v>2</v>
      </c>
      <c r="B6">
        <v>2025</v>
      </c>
      <c r="C6" t="s">
        <v>88</v>
      </c>
      <c r="D6">
        <v>10353683</v>
      </c>
      <c r="E6">
        <v>422004</v>
      </c>
      <c r="F6">
        <v>103161</v>
      </c>
      <c r="G6">
        <v>0</v>
      </c>
      <c r="H6">
        <v>0</v>
      </c>
    </row>
    <row r="7" spans="1:8" x14ac:dyDescent="0.25">
      <c r="A7">
        <v>2</v>
      </c>
      <c r="B7">
        <v>2025</v>
      </c>
      <c r="C7" t="s">
        <v>90</v>
      </c>
      <c r="D7">
        <v>0</v>
      </c>
      <c r="E7">
        <v>21811</v>
      </c>
      <c r="F7">
        <v>199590</v>
      </c>
      <c r="G7">
        <v>123164</v>
      </c>
      <c r="H7">
        <v>0</v>
      </c>
    </row>
    <row r="8" spans="1:8" x14ac:dyDescent="0.25">
      <c r="A8">
        <v>2</v>
      </c>
      <c r="B8">
        <v>2025</v>
      </c>
      <c r="C8" t="s">
        <v>91</v>
      </c>
      <c r="D8">
        <v>0</v>
      </c>
      <c r="E8">
        <v>19867</v>
      </c>
      <c r="F8">
        <v>0</v>
      </c>
      <c r="G8">
        <v>174407</v>
      </c>
      <c r="H8">
        <v>120059</v>
      </c>
    </row>
    <row r="9" spans="1:8" x14ac:dyDescent="0.25">
      <c r="A9">
        <v>2</v>
      </c>
      <c r="B9">
        <v>2025</v>
      </c>
      <c r="C9" t="s">
        <v>92</v>
      </c>
      <c r="D9">
        <v>0</v>
      </c>
      <c r="E9">
        <v>53376</v>
      </c>
      <c r="F9">
        <v>0</v>
      </c>
      <c r="G9">
        <v>0</v>
      </c>
      <c r="H9">
        <v>135400</v>
      </c>
    </row>
    <row r="10" spans="1:8" x14ac:dyDescent="0.25">
      <c r="A10">
        <v>3</v>
      </c>
      <c r="B10">
        <v>2026</v>
      </c>
      <c r="C10" t="s">
        <v>88</v>
      </c>
      <c r="D10">
        <v>10527219</v>
      </c>
      <c r="E10">
        <v>432498</v>
      </c>
      <c r="F10">
        <v>106448</v>
      </c>
      <c r="G10">
        <v>0</v>
      </c>
      <c r="H10">
        <v>0</v>
      </c>
    </row>
    <row r="11" spans="1:8" x14ac:dyDescent="0.25">
      <c r="A11">
        <v>3</v>
      </c>
      <c r="B11">
        <v>2026</v>
      </c>
      <c r="C11" t="s">
        <v>90</v>
      </c>
      <c r="D11">
        <v>0</v>
      </c>
      <c r="E11">
        <v>19818</v>
      </c>
      <c r="F11">
        <v>179585</v>
      </c>
      <c r="G11">
        <v>110450</v>
      </c>
      <c r="H11">
        <v>0</v>
      </c>
    </row>
    <row r="12" spans="1:8" x14ac:dyDescent="0.25">
      <c r="A12">
        <v>3</v>
      </c>
      <c r="B12">
        <v>2026</v>
      </c>
      <c r="C12" t="s">
        <v>91</v>
      </c>
      <c r="D12">
        <v>0</v>
      </c>
      <c r="E12">
        <v>19330</v>
      </c>
      <c r="F12">
        <v>0</v>
      </c>
      <c r="G12">
        <v>163836</v>
      </c>
      <c r="H12">
        <v>113994</v>
      </c>
    </row>
    <row r="13" spans="1:8" x14ac:dyDescent="0.25">
      <c r="A13">
        <v>3</v>
      </c>
      <c r="B13">
        <v>2026</v>
      </c>
      <c r="C13" t="s">
        <v>92</v>
      </c>
      <c r="D13">
        <v>0</v>
      </c>
      <c r="E13">
        <v>71552</v>
      </c>
      <c r="F13">
        <v>0</v>
      </c>
      <c r="G13">
        <v>0</v>
      </c>
      <c r="H13">
        <v>179905</v>
      </c>
    </row>
    <row r="14" spans="1:8" x14ac:dyDescent="0.25">
      <c r="A14">
        <v>4</v>
      </c>
      <c r="B14">
        <v>2027</v>
      </c>
      <c r="C14" t="s">
        <v>88</v>
      </c>
      <c r="D14">
        <v>10690746</v>
      </c>
      <c r="E14">
        <v>442735</v>
      </c>
      <c r="F14">
        <v>110430</v>
      </c>
      <c r="G14">
        <v>0</v>
      </c>
      <c r="H14">
        <v>0</v>
      </c>
    </row>
    <row r="15" spans="1:8" x14ac:dyDescent="0.25">
      <c r="A15">
        <v>4</v>
      </c>
      <c r="B15">
        <v>2027</v>
      </c>
      <c r="C15" t="s">
        <v>90</v>
      </c>
      <c r="D15">
        <v>0</v>
      </c>
      <c r="E15">
        <v>18655</v>
      </c>
      <c r="F15">
        <v>169495</v>
      </c>
      <c r="G15">
        <v>104587</v>
      </c>
      <c r="H15">
        <v>0</v>
      </c>
    </row>
    <row r="16" spans="1:8" x14ac:dyDescent="0.25">
      <c r="A16">
        <v>4</v>
      </c>
      <c r="B16">
        <v>2027</v>
      </c>
      <c r="C16" t="s">
        <v>91</v>
      </c>
      <c r="D16">
        <v>0</v>
      </c>
      <c r="E16">
        <v>18178</v>
      </c>
      <c r="F16">
        <v>0</v>
      </c>
      <c r="G16">
        <v>151464</v>
      </c>
      <c r="H16">
        <v>104647</v>
      </c>
    </row>
    <row r="17" spans="1:8" x14ac:dyDescent="0.25">
      <c r="A17">
        <v>4</v>
      </c>
      <c r="B17">
        <v>2027</v>
      </c>
      <c r="C17" t="s">
        <v>92</v>
      </c>
      <c r="D17">
        <v>0</v>
      </c>
      <c r="E17">
        <v>83156</v>
      </c>
      <c r="F17">
        <v>0</v>
      </c>
      <c r="G17">
        <v>0</v>
      </c>
      <c r="H17">
        <v>207440</v>
      </c>
    </row>
    <row r="18" spans="1:8" x14ac:dyDescent="0.25">
      <c r="A18">
        <v>5</v>
      </c>
      <c r="B18">
        <v>2028</v>
      </c>
      <c r="C18" t="s">
        <v>88</v>
      </c>
      <c r="D18">
        <v>10846067</v>
      </c>
      <c r="E18">
        <v>451449</v>
      </c>
      <c r="F18">
        <v>114157</v>
      </c>
      <c r="G18">
        <v>0</v>
      </c>
      <c r="H18">
        <v>0</v>
      </c>
    </row>
    <row r="19" spans="1:8" x14ac:dyDescent="0.25">
      <c r="A19">
        <v>5</v>
      </c>
      <c r="B19">
        <v>2028</v>
      </c>
      <c r="C19" t="s">
        <v>90</v>
      </c>
      <c r="D19">
        <v>0</v>
      </c>
      <c r="E19">
        <v>18075</v>
      </c>
      <c r="F19">
        <v>166091</v>
      </c>
      <c r="G19">
        <v>102369</v>
      </c>
      <c r="H19">
        <v>0</v>
      </c>
    </row>
    <row r="20" spans="1:8" x14ac:dyDescent="0.25">
      <c r="A20">
        <v>5</v>
      </c>
      <c r="B20">
        <v>2028</v>
      </c>
      <c r="C20" t="s">
        <v>91</v>
      </c>
      <c r="D20">
        <v>0</v>
      </c>
      <c r="E20">
        <v>16877</v>
      </c>
      <c r="F20">
        <v>0</v>
      </c>
      <c r="G20">
        <v>141277</v>
      </c>
      <c r="H20">
        <v>97911</v>
      </c>
    </row>
    <row r="21" spans="1:8" x14ac:dyDescent="0.25">
      <c r="A21">
        <v>5</v>
      </c>
      <c r="B21">
        <v>2028</v>
      </c>
      <c r="C21" t="s">
        <v>92</v>
      </c>
      <c r="D21">
        <v>0</v>
      </c>
      <c r="E21">
        <v>88761</v>
      </c>
      <c r="F21">
        <v>0</v>
      </c>
      <c r="G21">
        <v>0</v>
      </c>
      <c r="H21">
        <v>220983</v>
      </c>
    </row>
    <row r="22" spans="1:8" x14ac:dyDescent="0.25">
      <c r="A22">
        <v>6</v>
      </c>
      <c r="B22">
        <v>2029</v>
      </c>
      <c r="C22" t="s">
        <v>88</v>
      </c>
      <c r="D22">
        <v>10994539</v>
      </c>
      <c r="E22">
        <v>459054</v>
      </c>
      <c r="F22">
        <v>117661</v>
      </c>
      <c r="G22">
        <v>0</v>
      </c>
      <c r="H22">
        <v>0</v>
      </c>
    </row>
    <row r="23" spans="1:8" x14ac:dyDescent="0.25">
      <c r="A23">
        <v>6</v>
      </c>
      <c r="B23">
        <v>2029</v>
      </c>
      <c r="C23" t="s">
        <v>90</v>
      </c>
      <c r="D23">
        <v>0</v>
      </c>
      <c r="E23">
        <v>18154</v>
      </c>
      <c r="F23">
        <v>166608</v>
      </c>
      <c r="G23">
        <v>102184</v>
      </c>
      <c r="H23">
        <v>0</v>
      </c>
    </row>
    <row r="24" spans="1:8" x14ac:dyDescent="0.25">
      <c r="A24">
        <v>6</v>
      </c>
      <c r="B24">
        <v>2029</v>
      </c>
      <c r="C24" t="s">
        <v>91</v>
      </c>
      <c r="D24">
        <v>0</v>
      </c>
      <c r="E24">
        <v>15877</v>
      </c>
      <c r="F24">
        <v>0</v>
      </c>
      <c r="G24">
        <v>134153</v>
      </c>
      <c r="H24">
        <v>93192</v>
      </c>
    </row>
    <row r="25" spans="1:8" x14ac:dyDescent="0.25">
      <c r="A25">
        <v>6</v>
      </c>
      <c r="B25">
        <v>2029</v>
      </c>
      <c r="C25" t="s">
        <v>92</v>
      </c>
      <c r="D25">
        <v>0</v>
      </c>
      <c r="E25">
        <v>91012</v>
      </c>
      <c r="F25">
        <v>0</v>
      </c>
      <c r="G25">
        <v>0</v>
      </c>
      <c r="H25">
        <v>226122</v>
      </c>
    </row>
    <row r="26" spans="1:8" x14ac:dyDescent="0.25">
      <c r="A26">
        <v>7</v>
      </c>
      <c r="B26">
        <v>2030</v>
      </c>
      <c r="C26" t="s">
        <v>88</v>
      </c>
      <c r="D26">
        <v>11134132</v>
      </c>
      <c r="E26">
        <v>468589</v>
      </c>
      <c r="F26">
        <v>121290</v>
      </c>
      <c r="G26">
        <v>0</v>
      </c>
      <c r="H26">
        <v>0</v>
      </c>
    </row>
    <row r="27" spans="1:8" x14ac:dyDescent="0.25">
      <c r="A27">
        <v>7</v>
      </c>
      <c r="B27">
        <v>2030</v>
      </c>
      <c r="C27" t="s">
        <v>90</v>
      </c>
      <c r="D27">
        <v>0</v>
      </c>
      <c r="E27">
        <v>18123</v>
      </c>
      <c r="F27">
        <v>168736</v>
      </c>
      <c r="G27">
        <v>103992</v>
      </c>
      <c r="H27">
        <v>0</v>
      </c>
    </row>
    <row r="28" spans="1:8" x14ac:dyDescent="0.25">
      <c r="A28">
        <v>7</v>
      </c>
      <c r="B28">
        <v>2030</v>
      </c>
      <c r="C28" t="s">
        <v>91</v>
      </c>
      <c r="D28">
        <v>0</v>
      </c>
      <c r="E28">
        <v>15387</v>
      </c>
      <c r="F28">
        <v>0</v>
      </c>
      <c r="G28">
        <v>130045</v>
      </c>
      <c r="H28">
        <v>90241</v>
      </c>
    </row>
    <row r="29" spans="1:8" x14ac:dyDescent="0.25">
      <c r="A29">
        <v>7</v>
      </c>
      <c r="B29">
        <v>2030</v>
      </c>
      <c r="C29" t="s">
        <v>92</v>
      </c>
      <c r="D29">
        <v>0</v>
      </c>
      <c r="E29">
        <v>91715</v>
      </c>
      <c r="F29">
        <v>0</v>
      </c>
      <c r="G29">
        <v>0</v>
      </c>
      <c r="H29">
        <v>226344</v>
      </c>
    </row>
    <row r="30" spans="1:8" x14ac:dyDescent="0.25">
      <c r="A30">
        <v>8</v>
      </c>
      <c r="B30">
        <v>2031</v>
      </c>
      <c r="C30" t="s">
        <v>88</v>
      </c>
      <c r="D30">
        <v>11268254</v>
      </c>
      <c r="E30">
        <v>475423</v>
      </c>
      <c r="F30">
        <v>124237</v>
      </c>
      <c r="G30">
        <v>0</v>
      </c>
      <c r="H30">
        <v>0</v>
      </c>
    </row>
    <row r="31" spans="1:8" x14ac:dyDescent="0.25">
      <c r="A31">
        <v>8</v>
      </c>
      <c r="B31">
        <v>2031</v>
      </c>
      <c r="C31" t="s">
        <v>90</v>
      </c>
      <c r="D31">
        <v>0</v>
      </c>
      <c r="E31">
        <v>18370</v>
      </c>
      <c r="F31">
        <v>172310</v>
      </c>
      <c r="G31">
        <v>106099</v>
      </c>
      <c r="H31">
        <v>0</v>
      </c>
    </row>
    <row r="32" spans="1:8" x14ac:dyDescent="0.25">
      <c r="A32">
        <v>8</v>
      </c>
      <c r="B32">
        <v>2031</v>
      </c>
      <c r="C32" t="s">
        <v>91</v>
      </c>
      <c r="D32">
        <v>0</v>
      </c>
      <c r="E32">
        <v>14911</v>
      </c>
      <c r="F32">
        <v>0</v>
      </c>
      <c r="G32">
        <v>128778</v>
      </c>
      <c r="H32">
        <v>89625</v>
      </c>
    </row>
    <row r="33" spans="1:8" x14ac:dyDescent="0.25">
      <c r="A33">
        <v>8</v>
      </c>
      <c r="B33">
        <v>2031</v>
      </c>
      <c r="C33" t="s">
        <v>92</v>
      </c>
      <c r="D33">
        <v>0</v>
      </c>
      <c r="E33">
        <v>91055</v>
      </c>
      <c r="F33">
        <v>0</v>
      </c>
      <c r="G33">
        <v>0</v>
      </c>
      <c r="H33">
        <v>224353</v>
      </c>
    </row>
    <row r="34" spans="1:8" x14ac:dyDescent="0.25">
      <c r="A34">
        <v>9</v>
      </c>
      <c r="B34">
        <v>2032</v>
      </c>
      <c r="C34" t="s">
        <v>88</v>
      </c>
      <c r="D34">
        <v>11398791</v>
      </c>
      <c r="E34">
        <v>479138</v>
      </c>
      <c r="F34">
        <v>128443</v>
      </c>
      <c r="G34">
        <v>0</v>
      </c>
      <c r="H34">
        <v>0</v>
      </c>
    </row>
    <row r="35" spans="1:8" x14ac:dyDescent="0.25">
      <c r="A35">
        <v>9</v>
      </c>
      <c r="B35">
        <v>2032</v>
      </c>
      <c r="C35" t="s">
        <v>90</v>
      </c>
      <c r="D35">
        <v>0</v>
      </c>
      <c r="E35">
        <v>18257</v>
      </c>
      <c r="F35">
        <v>176429</v>
      </c>
      <c r="G35">
        <v>108601</v>
      </c>
      <c r="H35">
        <v>0</v>
      </c>
    </row>
    <row r="36" spans="1:8" x14ac:dyDescent="0.25">
      <c r="A36">
        <v>9</v>
      </c>
      <c r="B36">
        <v>2032</v>
      </c>
      <c r="C36" t="s">
        <v>91</v>
      </c>
      <c r="D36">
        <v>0</v>
      </c>
      <c r="E36">
        <v>14542</v>
      </c>
      <c r="F36">
        <v>0</v>
      </c>
      <c r="G36">
        <v>129074</v>
      </c>
      <c r="H36">
        <v>90322</v>
      </c>
    </row>
    <row r="37" spans="1:8" x14ac:dyDescent="0.25">
      <c r="A37">
        <v>9</v>
      </c>
      <c r="B37">
        <v>2032</v>
      </c>
      <c r="C37" t="s">
        <v>92</v>
      </c>
      <c r="D37">
        <v>0</v>
      </c>
      <c r="E37">
        <v>89577</v>
      </c>
      <c r="F37">
        <v>0</v>
      </c>
      <c r="G37">
        <v>0</v>
      </c>
      <c r="H37">
        <v>223167</v>
      </c>
    </row>
    <row r="38" spans="1:8" x14ac:dyDescent="0.25">
      <c r="A38">
        <v>10</v>
      </c>
      <c r="B38">
        <v>2033</v>
      </c>
      <c r="C38" t="s">
        <v>88</v>
      </c>
      <c r="D38">
        <v>11522768</v>
      </c>
      <c r="E38">
        <v>485773</v>
      </c>
      <c r="F38">
        <v>132729</v>
      </c>
      <c r="G38">
        <v>0</v>
      </c>
      <c r="H38">
        <v>0</v>
      </c>
    </row>
    <row r="39" spans="1:8" x14ac:dyDescent="0.25">
      <c r="A39">
        <v>10</v>
      </c>
      <c r="B39">
        <v>2033</v>
      </c>
      <c r="C39" t="s">
        <v>90</v>
      </c>
      <c r="D39">
        <v>0</v>
      </c>
      <c r="E39">
        <v>18646</v>
      </c>
      <c r="F39">
        <v>181401</v>
      </c>
      <c r="G39">
        <v>111705</v>
      </c>
      <c r="H39">
        <v>0</v>
      </c>
    </row>
    <row r="40" spans="1:8" x14ac:dyDescent="0.25">
      <c r="A40">
        <v>10</v>
      </c>
      <c r="B40">
        <v>2033</v>
      </c>
      <c r="C40" t="s">
        <v>91</v>
      </c>
      <c r="D40">
        <v>0</v>
      </c>
      <c r="E40">
        <v>14518</v>
      </c>
      <c r="F40">
        <v>0</v>
      </c>
      <c r="G40">
        <v>131108</v>
      </c>
      <c r="H40">
        <v>91022</v>
      </c>
    </row>
    <row r="41" spans="1:8" x14ac:dyDescent="0.25">
      <c r="A41">
        <v>10</v>
      </c>
      <c r="B41">
        <v>2033</v>
      </c>
      <c r="C41" t="s">
        <v>92</v>
      </c>
      <c r="D41">
        <v>0</v>
      </c>
      <c r="E41">
        <v>89258</v>
      </c>
      <c r="F41">
        <v>0</v>
      </c>
      <c r="G41">
        <v>0</v>
      </c>
      <c r="H41">
        <v>223113</v>
      </c>
    </row>
    <row r="42" spans="1:8" x14ac:dyDescent="0.25">
      <c r="A42">
        <v>11</v>
      </c>
      <c r="B42">
        <v>2034</v>
      </c>
      <c r="C42" t="s">
        <v>88</v>
      </c>
      <c r="D42">
        <v>11644642</v>
      </c>
      <c r="E42">
        <v>489197</v>
      </c>
      <c r="F42">
        <v>135796</v>
      </c>
      <c r="G42">
        <v>0</v>
      </c>
      <c r="H42">
        <v>0</v>
      </c>
    </row>
    <row r="43" spans="1:8" x14ac:dyDescent="0.25">
      <c r="A43">
        <v>11</v>
      </c>
      <c r="B43">
        <v>2034</v>
      </c>
      <c r="C43" t="s">
        <v>90</v>
      </c>
      <c r="D43">
        <v>0</v>
      </c>
      <c r="E43">
        <v>18764</v>
      </c>
      <c r="F43">
        <v>187407</v>
      </c>
      <c r="G43">
        <v>114748</v>
      </c>
      <c r="H43">
        <v>0</v>
      </c>
    </row>
    <row r="44" spans="1:8" x14ac:dyDescent="0.25">
      <c r="A44">
        <v>11</v>
      </c>
      <c r="B44">
        <v>2034</v>
      </c>
      <c r="C44" t="s">
        <v>91</v>
      </c>
      <c r="D44">
        <v>0</v>
      </c>
      <c r="E44">
        <v>14567</v>
      </c>
      <c r="F44">
        <v>0</v>
      </c>
      <c r="G44">
        <v>134237</v>
      </c>
      <c r="H44">
        <v>92831</v>
      </c>
    </row>
    <row r="45" spans="1:8" x14ac:dyDescent="0.25">
      <c r="A45">
        <v>11</v>
      </c>
      <c r="B45">
        <v>2034</v>
      </c>
      <c r="C45" t="s">
        <v>92</v>
      </c>
      <c r="D45">
        <v>0</v>
      </c>
      <c r="E45">
        <v>88798</v>
      </c>
      <c r="F45">
        <v>0</v>
      </c>
      <c r="G45">
        <v>0</v>
      </c>
      <c r="H45">
        <v>224049</v>
      </c>
    </row>
    <row r="46" spans="1:8" x14ac:dyDescent="0.25">
      <c r="A46">
        <v>12</v>
      </c>
      <c r="B46">
        <v>2035</v>
      </c>
      <c r="C46" t="s">
        <v>88</v>
      </c>
      <c r="D46">
        <v>11760431</v>
      </c>
      <c r="E46">
        <v>495353</v>
      </c>
      <c r="F46">
        <v>140138</v>
      </c>
      <c r="G46">
        <v>0</v>
      </c>
      <c r="H46">
        <v>0</v>
      </c>
    </row>
    <row r="47" spans="1:8" x14ac:dyDescent="0.25">
      <c r="A47">
        <v>12</v>
      </c>
      <c r="B47">
        <v>2035</v>
      </c>
      <c r="C47" t="s">
        <v>90</v>
      </c>
      <c r="D47">
        <v>0</v>
      </c>
      <c r="E47">
        <v>19275</v>
      </c>
      <c r="F47">
        <v>193360</v>
      </c>
      <c r="G47">
        <v>117584</v>
      </c>
      <c r="H47">
        <v>0</v>
      </c>
    </row>
    <row r="48" spans="1:8" x14ac:dyDescent="0.25">
      <c r="A48">
        <v>12</v>
      </c>
      <c r="B48">
        <v>2035</v>
      </c>
      <c r="C48" t="s">
        <v>91</v>
      </c>
      <c r="D48">
        <v>0</v>
      </c>
      <c r="E48">
        <v>14887</v>
      </c>
      <c r="F48">
        <v>0</v>
      </c>
      <c r="G48">
        <v>137380</v>
      </c>
      <c r="H48">
        <v>95823</v>
      </c>
    </row>
    <row r="49" spans="1:8" x14ac:dyDescent="0.25">
      <c r="A49">
        <v>12</v>
      </c>
      <c r="B49">
        <v>2035</v>
      </c>
      <c r="C49" t="s">
        <v>92</v>
      </c>
      <c r="D49">
        <v>0</v>
      </c>
      <c r="E49">
        <v>89649</v>
      </c>
      <c r="F49">
        <v>0</v>
      </c>
      <c r="G49">
        <v>0</v>
      </c>
      <c r="H49">
        <v>226155</v>
      </c>
    </row>
    <row r="50" spans="1:8" x14ac:dyDescent="0.25">
      <c r="A50">
        <v>13</v>
      </c>
      <c r="B50">
        <v>2036</v>
      </c>
      <c r="C50" t="s">
        <v>88</v>
      </c>
      <c r="D50">
        <v>11871545</v>
      </c>
      <c r="E50">
        <v>501122</v>
      </c>
      <c r="F50">
        <v>143483</v>
      </c>
      <c r="G50">
        <v>0</v>
      </c>
      <c r="H50">
        <v>0</v>
      </c>
    </row>
    <row r="51" spans="1:8" x14ac:dyDescent="0.25">
      <c r="A51">
        <v>13</v>
      </c>
      <c r="B51">
        <v>2036</v>
      </c>
      <c r="C51" t="s">
        <v>90</v>
      </c>
      <c r="D51">
        <v>0</v>
      </c>
      <c r="E51">
        <v>19509</v>
      </c>
      <c r="F51">
        <v>198901</v>
      </c>
      <c r="G51">
        <v>122252</v>
      </c>
      <c r="H51">
        <v>0</v>
      </c>
    </row>
    <row r="52" spans="1:8" x14ac:dyDescent="0.25">
      <c r="A52">
        <v>13</v>
      </c>
      <c r="B52">
        <v>2036</v>
      </c>
      <c r="C52" t="s">
        <v>91</v>
      </c>
      <c r="D52">
        <v>0</v>
      </c>
      <c r="E52">
        <v>14797</v>
      </c>
      <c r="F52">
        <v>0</v>
      </c>
      <c r="G52">
        <v>141282</v>
      </c>
      <c r="H52">
        <v>97756</v>
      </c>
    </row>
    <row r="53" spans="1:8" x14ac:dyDescent="0.25">
      <c r="A53">
        <v>13</v>
      </c>
      <c r="B53">
        <v>2036</v>
      </c>
      <c r="C53" t="s">
        <v>92</v>
      </c>
      <c r="D53">
        <v>0</v>
      </c>
      <c r="E53">
        <v>89909</v>
      </c>
      <c r="F53">
        <v>0</v>
      </c>
      <c r="G53">
        <v>0</v>
      </c>
      <c r="H53">
        <v>230670</v>
      </c>
    </row>
    <row r="54" spans="1:8" x14ac:dyDescent="0.25">
      <c r="A54">
        <v>14</v>
      </c>
      <c r="B54">
        <v>2037</v>
      </c>
      <c r="C54" t="s">
        <v>88</v>
      </c>
      <c r="D54">
        <v>12049023</v>
      </c>
      <c r="E54">
        <v>433620</v>
      </c>
      <c r="F54">
        <v>149086</v>
      </c>
      <c r="G54">
        <v>0</v>
      </c>
      <c r="H54">
        <v>0</v>
      </c>
    </row>
    <row r="55" spans="1:8" x14ac:dyDescent="0.25">
      <c r="A55">
        <v>14</v>
      </c>
      <c r="B55">
        <v>2037</v>
      </c>
      <c r="C55" t="s">
        <v>90</v>
      </c>
      <c r="D55">
        <v>0</v>
      </c>
      <c r="E55">
        <v>15181</v>
      </c>
      <c r="F55">
        <v>207821</v>
      </c>
      <c r="G55">
        <v>124941</v>
      </c>
      <c r="H55">
        <v>0</v>
      </c>
    </row>
    <row r="56" spans="1:8" x14ac:dyDescent="0.25">
      <c r="A56">
        <v>14</v>
      </c>
      <c r="B56">
        <v>2037</v>
      </c>
      <c r="C56" t="s">
        <v>91</v>
      </c>
      <c r="D56">
        <v>0</v>
      </c>
      <c r="E56">
        <v>11652</v>
      </c>
      <c r="F56">
        <v>0</v>
      </c>
      <c r="G56">
        <v>148429</v>
      </c>
      <c r="H56">
        <v>100851</v>
      </c>
    </row>
    <row r="57" spans="1:8" x14ac:dyDescent="0.25">
      <c r="A57">
        <v>14</v>
      </c>
      <c r="B57">
        <v>2037</v>
      </c>
      <c r="C57" t="s">
        <v>92</v>
      </c>
      <c r="D57">
        <v>0</v>
      </c>
      <c r="E57">
        <v>86752</v>
      </c>
      <c r="F57">
        <v>0</v>
      </c>
      <c r="G57">
        <v>0</v>
      </c>
      <c r="H57">
        <v>239144</v>
      </c>
    </row>
    <row r="58" spans="1:8" x14ac:dyDescent="0.25">
      <c r="A58">
        <v>15</v>
      </c>
      <c r="B58">
        <v>2038</v>
      </c>
      <c r="C58" t="s">
        <v>88</v>
      </c>
      <c r="D58">
        <v>12132604</v>
      </c>
      <c r="E58">
        <v>527440</v>
      </c>
      <c r="F58">
        <v>153655</v>
      </c>
      <c r="G58">
        <v>0</v>
      </c>
      <c r="H58">
        <v>0</v>
      </c>
    </row>
    <row r="59" spans="1:8" x14ac:dyDescent="0.25">
      <c r="A59">
        <v>15</v>
      </c>
      <c r="B59">
        <v>2038</v>
      </c>
      <c r="C59" t="s">
        <v>90</v>
      </c>
      <c r="D59">
        <v>0</v>
      </c>
      <c r="E59">
        <v>21402</v>
      </c>
      <c r="F59">
        <v>213025</v>
      </c>
      <c r="G59">
        <v>130342</v>
      </c>
      <c r="H59">
        <v>0</v>
      </c>
    </row>
    <row r="60" spans="1:8" x14ac:dyDescent="0.25">
      <c r="A60">
        <v>15</v>
      </c>
      <c r="B60">
        <v>2038</v>
      </c>
      <c r="C60" t="s">
        <v>91</v>
      </c>
      <c r="D60">
        <v>0</v>
      </c>
      <c r="E60">
        <v>16340</v>
      </c>
      <c r="F60">
        <v>0</v>
      </c>
      <c r="G60">
        <v>152958</v>
      </c>
      <c r="H60">
        <v>104977</v>
      </c>
    </row>
    <row r="61" spans="1:8" x14ac:dyDescent="0.25">
      <c r="A61">
        <v>15</v>
      </c>
      <c r="B61">
        <v>2038</v>
      </c>
      <c r="C61" t="s">
        <v>92</v>
      </c>
      <c r="D61">
        <v>0</v>
      </c>
      <c r="E61">
        <v>96005</v>
      </c>
      <c r="F61">
        <v>0</v>
      </c>
      <c r="G61">
        <v>0</v>
      </c>
      <c r="H61">
        <v>244169</v>
      </c>
    </row>
    <row r="62" spans="1:8" x14ac:dyDescent="0.25">
      <c r="A62">
        <v>16</v>
      </c>
      <c r="B62">
        <v>2039</v>
      </c>
      <c r="C62" t="s">
        <v>88</v>
      </c>
      <c r="D62">
        <v>12208527</v>
      </c>
      <c r="E62">
        <v>536223</v>
      </c>
      <c r="F62">
        <v>157049</v>
      </c>
      <c r="G62">
        <v>0</v>
      </c>
      <c r="H62">
        <v>0</v>
      </c>
    </row>
    <row r="63" spans="1:8" x14ac:dyDescent="0.25">
      <c r="A63">
        <v>16</v>
      </c>
      <c r="B63">
        <v>2039</v>
      </c>
      <c r="C63" t="s">
        <v>90</v>
      </c>
      <c r="D63">
        <v>0</v>
      </c>
      <c r="E63">
        <v>21965</v>
      </c>
      <c r="F63">
        <v>218884</v>
      </c>
      <c r="G63">
        <v>133896</v>
      </c>
      <c r="H63">
        <v>0</v>
      </c>
    </row>
    <row r="64" spans="1:8" x14ac:dyDescent="0.25">
      <c r="A64">
        <v>16</v>
      </c>
      <c r="B64">
        <v>2039</v>
      </c>
      <c r="C64" t="s">
        <v>91</v>
      </c>
      <c r="D64">
        <v>0</v>
      </c>
      <c r="E64">
        <v>16828</v>
      </c>
      <c r="F64">
        <v>0</v>
      </c>
      <c r="G64">
        <v>156693</v>
      </c>
      <c r="H64">
        <v>108515</v>
      </c>
    </row>
    <row r="65" spans="1:8" x14ac:dyDescent="0.25">
      <c r="A65">
        <v>16</v>
      </c>
      <c r="B65">
        <v>2039</v>
      </c>
      <c r="C65" t="s">
        <v>92</v>
      </c>
      <c r="D65">
        <v>0</v>
      </c>
      <c r="E65">
        <v>97658</v>
      </c>
      <c r="F65">
        <v>0</v>
      </c>
      <c r="G65">
        <v>0</v>
      </c>
      <c r="H65">
        <v>249832</v>
      </c>
    </row>
    <row r="66" spans="1:8" x14ac:dyDescent="0.25">
      <c r="A66">
        <v>17</v>
      </c>
      <c r="B66">
        <v>2040</v>
      </c>
      <c r="C66" t="s">
        <v>88</v>
      </c>
      <c r="D66">
        <v>12272768</v>
      </c>
      <c r="E66">
        <v>549908</v>
      </c>
      <c r="F66">
        <v>159591</v>
      </c>
      <c r="G66">
        <v>0</v>
      </c>
      <c r="H66">
        <v>0</v>
      </c>
    </row>
    <row r="67" spans="1:8" x14ac:dyDescent="0.25">
      <c r="A67">
        <v>17</v>
      </c>
      <c r="B67">
        <v>2040</v>
      </c>
      <c r="C67" t="s">
        <v>90</v>
      </c>
      <c r="D67">
        <v>0</v>
      </c>
      <c r="E67">
        <v>23156</v>
      </c>
      <c r="F67">
        <v>223239</v>
      </c>
      <c r="G67">
        <v>137971</v>
      </c>
      <c r="H67">
        <v>0</v>
      </c>
    </row>
    <row r="68" spans="1:8" x14ac:dyDescent="0.25">
      <c r="A68">
        <v>17</v>
      </c>
      <c r="B68">
        <v>2040</v>
      </c>
      <c r="C68" t="s">
        <v>91</v>
      </c>
      <c r="D68">
        <v>0</v>
      </c>
      <c r="E68">
        <v>17731</v>
      </c>
      <c r="F68">
        <v>0</v>
      </c>
      <c r="G68">
        <v>160866</v>
      </c>
      <c r="H68">
        <v>110896</v>
      </c>
    </row>
    <row r="69" spans="1:8" x14ac:dyDescent="0.25">
      <c r="A69">
        <v>17</v>
      </c>
      <c r="B69">
        <v>2040</v>
      </c>
      <c r="C69" t="s">
        <v>92</v>
      </c>
      <c r="D69">
        <v>0</v>
      </c>
      <c r="E69">
        <v>100474</v>
      </c>
      <c r="F69">
        <v>0</v>
      </c>
      <c r="G69">
        <v>0</v>
      </c>
      <c r="H69">
        <v>256290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87</v>
      </c>
      <c r="D1" s="1" t="s">
        <v>93</v>
      </c>
    </row>
    <row r="2" spans="1:4" x14ac:dyDescent="0.25">
      <c r="A2">
        <v>1</v>
      </c>
      <c r="B2">
        <v>2024</v>
      </c>
      <c r="C2" t="s">
        <v>88</v>
      </c>
      <c r="D2">
        <v>10689229</v>
      </c>
    </row>
    <row r="3" spans="1:4" x14ac:dyDescent="0.25">
      <c r="A3">
        <v>1</v>
      </c>
      <c r="B3">
        <v>2024</v>
      </c>
      <c r="C3" t="s">
        <v>90</v>
      </c>
      <c r="D3">
        <v>398969</v>
      </c>
    </row>
    <row r="4" spans="1:4" x14ac:dyDescent="0.25">
      <c r="A4">
        <v>1</v>
      </c>
      <c r="B4">
        <v>2024</v>
      </c>
      <c r="C4" t="s">
        <v>91</v>
      </c>
      <c r="D4">
        <v>299115</v>
      </c>
    </row>
    <row r="5" spans="1:4" x14ac:dyDescent="0.25">
      <c r="A5">
        <v>1</v>
      </c>
      <c r="B5">
        <v>2024</v>
      </c>
      <c r="C5" t="s">
        <v>92</v>
      </c>
      <c r="D5">
        <v>104302</v>
      </c>
    </row>
    <row r="6" spans="1:4" x14ac:dyDescent="0.25">
      <c r="A6">
        <v>2</v>
      </c>
      <c r="B6">
        <v>2025</v>
      </c>
      <c r="C6" t="s">
        <v>88</v>
      </c>
      <c r="D6">
        <v>10878848</v>
      </c>
    </row>
    <row r="7" spans="1:4" x14ac:dyDescent="0.25">
      <c r="A7">
        <v>2</v>
      </c>
      <c r="B7">
        <v>2025</v>
      </c>
      <c r="C7" t="s">
        <v>90</v>
      </c>
      <c r="D7">
        <v>336552</v>
      </c>
    </row>
    <row r="8" spans="1:4" x14ac:dyDescent="0.25">
      <c r="A8">
        <v>2</v>
      </c>
      <c r="B8">
        <v>2025</v>
      </c>
      <c r="C8" t="s">
        <v>91</v>
      </c>
      <c r="D8">
        <v>306587</v>
      </c>
    </row>
    <row r="9" spans="1:4" x14ac:dyDescent="0.25">
      <c r="A9">
        <v>2</v>
      </c>
      <c r="B9">
        <v>2025</v>
      </c>
      <c r="C9" t="s">
        <v>92</v>
      </c>
      <c r="D9">
        <v>186145</v>
      </c>
    </row>
    <row r="10" spans="1:4" x14ac:dyDescent="0.25">
      <c r="A10">
        <v>3</v>
      </c>
      <c r="B10">
        <v>2026</v>
      </c>
      <c r="C10" t="s">
        <v>88</v>
      </c>
      <c r="D10">
        <v>11066165</v>
      </c>
    </row>
    <row r="11" spans="1:4" x14ac:dyDescent="0.25">
      <c r="A11">
        <v>3</v>
      </c>
      <c r="B11">
        <v>2026</v>
      </c>
      <c r="C11" t="s">
        <v>90</v>
      </c>
      <c r="D11">
        <v>302751</v>
      </c>
    </row>
    <row r="12" spans="1:4" x14ac:dyDescent="0.25">
      <c r="A12">
        <v>3</v>
      </c>
      <c r="B12">
        <v>2026</v>
      </c>
      <c r="C12" t="s">
        <v>91</v>
      </c>
      <c r="D12">
        <v>289558</v>
      </c>
    </row>
    <row r="13" spans="1:4" x14ac:dyDescent="0.25">
      <c r="A13">
        <v>3</v>
      </c>
      <c r="B13">
        <v>2026</v>
      </c>
      <c r="C13" t="s">
        <v>92</v>
      </c>
      <c r="D13">
        <v>247713</v>
      </c>
    </row>
    <row r="14" spans="1:4" x14ac:dyDescent="0.25">
      <c r="A14">
        <v>4</v>
      </c>
      <c r="B14">
        <v>2027</v>
      </c>
      <c r="C14" t="s">
        <v>88</v>
      </c>
      <c r="D14">
        <v>11243911</v>
      </c>
    </row>
    <row r="15" spans="1:4" x14ac:dyDescent="0.25">
      <c r="A15">
        <v>4</v>
      </c>
      <c r="B15">
        <v>2027</v>
      </c>
      <c r="C15" t="s">
        <v>90</v>
      </c>
      <c r="D15">
        <v>286033</v>
      </c>
    </row>
    <row r="16" spans="1:4" x14ac:dyDescent="0.25">
      <c r="A16">
        <v>4</v>
      </c>
      <c r="B16">
        <v>2027</v>
      </c>
      <c r="C16" t="s">
        <v>91</v>
      </c>
      <c r="D16">
        <v>267184</v>
      </c>
    </row>
    <row r="17" spans="1:4" x14ac:dyDescent="0.25">
      <c r="A17">
        <v>4</v>
      </c>
      <c r="B17">
        <v>2027</v>
      </c>
      <c r="C17" t="s">
        <v>92</v>
      </c>
      <c r="D17">
        <v>286297</v>
      </c>
    </row>
    <row r="18" spans="1:4" x14ac:dyDescent="0.25">
      <c r="A18">
        <v>5</v>
      </c>
      <c r="B18">
        <v>2028</v>
      </c>
      <c r="C18" t="s">
        <v>88</v>
      </c>
      <c r="D18">
        <v>11411673</v>
      </c>
    </row>
    <row r="19" spans="1:4" x14ac:dyDescent="0.25">
      <c r="A19">
        <v>5</v>
      </c>
      <c r="B19">
        <v>2028</v>
      </c>
      <c r="C19" t="s">
        <v>90</v>
      </c>
      <c r="D19">
        <v>279925</v>
      </c>
    </row>
    <row r="20" spans="1:4" x14ac:dyDescent="0.25">
      <c r="A20">
        <v>5</v>
      </c>
      <c r="B20">
        <v>2028</v>
      </c>
      <c r="C20" t="s">
        <v>91</v>
      </c>
      <c r="D20">
        <v>249347</v>
      </c>
    </row>
    <row r="21" spans="1:4" x14ac:dyDescent="0.25">
      <c r="A21">
        <v>5</v>
      </c>
      <c r="B21">
        <v>2028</v>
      </c>
      <c r="C21" t="s">
        <v>92</v>
      </c>
      <c r="D21">
        <v>304982</v>
      </c>
    </row>
    <row r="22" spans="1:4" x14ac:dyDescent="0.25">
      <c r="A22">
        <v>6</v>
      </c>
      <c r="B22">
        <v>2029</v>
      </c>
      <c r="C22" t="s">
        <v>88</v>
      </c>
      <c r="D22">
        <v>11571254</v>
      </c>
    </row>
    <row r="23" spans="1:4" x14ac:dyDescent="0.25">
      <c r="A23">
        <v>6</v>
      </c>
      <c r="B23">
        <v>2029</v>
      </c>
      <c r="C23" t="s">
        <v>90</v>
      </c>
      <c r="D23">
        <v>280248</v>
      </c>
    </row>
    <row r="24" spans="1:4" x14ac:dyDescent="0.25">
      <c r="A24">
        <v>6</v>
      </c>
      <c r="B24">
        <v>2029</v>
      </c>
      <c r="C24" t="s">
        <v>91</v>
      </c>
      <c r="D24">
        <v>237036</v>
      </c>
    </row>
    <row r="25" spans="1:4" x14ac:dyDescent="0.25">
      <c r="A25">
        <v>6</v>
      </c>
      <c r="B25">
        <v>2029</v>
      </c>
      <c r="C25" t="s">
        <v>92</v>
      </c>
      <c r="D25">
        <v>312176</v>
      </c>
    </row>
    <row r="26" spans="1:4" x14ac:dyDescent="0.25">
      <c r="A26">
        <v>7</v>
      </c>
      <c r="B26">
        <v>2030</v>
      </c>
      <c r="C26" t="s">
        <v>88</v>
      </c>
      <c r="D26">
        <v>11724011</v>
      </c>
    </row>
    <row r="27" spans="1:4" x14ac:dyDescent="0.25">
      <c r="A27">
        <v>7</v>
      </c>
      <c r="B27">
        <v>2030</v>
      </c>
      <c r="C27" t="s">
        <v>90</v>
      </c>
      <c r="D27">
        <v>284269</v>
      </c>
    </row>
    <row r="28" spans="1:4" x14ac:dyDescent="0.25">
      <c r="A28">
        <v>7</v>
      </c>
      <c r="B28">
        <v>2030</v>
      </c>
      <c r="C28" t="s">
        <v>91</v>
      </c>
      <c r="D28">
        <v>229639</v>
      </c>
    </row>
    <row r="29" spans="1:4" x14ac:dyDescent="0.25">
      <c r="A29">
        <v>7</v>
      </c>
      <c r="B29">
        <v>2030</v>
      </c>
      <c r="C29" t="s">
        <v>92</v>
      </c>
      <c r="D29">
        <v>313128</v>
      </c>
    </row>
    <row r="30" spans="1:4" x14ac:dyDescent="0.25">
      <c r="A30">
        <v>8</v>
      </c>
      <c r="B30">
        <v>2031</v>
      </c>
      <c r="C30" t="s">
        <v>88</v>
      </c>
      <c r="D30">
        <v>11867914</v>
      </c>
    </row>
    <row r="31" spans="1:4" x14ac:dyDescent="0.25">
      <c r="A31">
        <v>8</v>
      </c>
      <c r="B31">
        <v>2031</v>
      </c>
      <c r="C31" t="s">
        <v>90</v>
      </c>
      <c r="D31">
        <v>290026</v>
      </c>
    </row>
    <row r="32" spans="1:4" x14ac:dyDescent="0.25">
      <c r="A32">
        <v>8</v>
      </c>
      <c r="B32">
        <v>2031</v>
      </c>
      <c r="C32" t="s">
        <v>91</v>
      </c>
      <c r="D32">
        <v>227455</v>
      </c>
    </row>
    <row r="33" spans="1:4" x14ac:dyDescent="0.25">
      <c r="A33">
        <v>8</v>
      </c>
      <c r="B33">
        <v>2031</v>
      </c>
      <c r="C33" t="s">
        <v>92</v>
      </c>
      <c r="D33">
        <v>310551</v>
      </c>
    </row>
    <row r="34" spans="1:4" x14ac:dyDescent="0.25">
      <c r="A34">
        <v>9</v>
      </c>
      <c r="B34">
        <v>2032</v>
      </c>
      <c r="C34" t="s">
        <v>88</v>
      </c>
      <c r="D34">
        <v>12006372</v>
      </c>
    </row>
    <row r="35" spans="1:4" x14ac:dyDescent="0.25">
      <c r="A35">
        <v>9</v>
      </c>
      <c r="B35">
        <v>2032</v>
      </c>
      <c r="C35" t="s">
        <v>90</v>
      </c>
      <c r="D35">
        <v>296547</v>
      </c>
    </row>
    <row r="36" spans="1:4" x14ac:dyDescent="0.25">
      <c r="A36">
        <v>9</v>
      </c>
      <c r="B36">
        <v>2032</v>
      </c>
      <c r="C36" t="s">
        <v>91</v>
      </c>
      <c r="D36">
        <v>228124</v>
      </c>
    </row>
    <row r="37" spans="1:4" x14ac:dyDescent="0.25">
      <c r="A37">
        <v>9</v>
      </c>
      <c r="B37">
        <v>2032</v>
      </c>
      <c r="C37" t="s">
        <v>92</v>
      </c>
      <c r="D37">
        <v>308119</v>
      </c>
    </row>
    <row r="38" spans="1:4" x14ac:dyDescent="0.25">
      <c r="A38">
        <v>10</v>
      </c>
      <c r="B38">
        <v>2033</v>
      </c>
      <c r="C38" t="s">
        <v>88</v>
      </c>
      <c r="D38">
        <v>12141270</v>
      </c>
    </row>
    <row r="39" spans="1:4" x14ac:dyDescent="0.25">
      <c r="A39">
        <v>10</v>
      </c>
      <c r="B39">
        <v>2033</v>
      </c>
      <c r="C39" t="s">
        <v>90</v>
      </c>
      <c r="D39">
        <v>304872</v>
      </c>
    </row>
    <row r="40" spans="1:4" x14ac:dyDescent="0.25">
      <c r="A40">
        <v>10</v>
      </c>
      <c r="B40">
        <v>2033</v>
      </c>
      <c r="C40" t="s">
        <v>91</v>
      </c>
      <c r="D40">
        <v>230935</v>
      </c>
    </row>
    <row r="41" spans="1:4" x14ac:dyDescent="0.25">
      <c r="A41">
        <v>10</v>
      </c>
      <c r="B41">
        <v>2033</v>
      </c>
      <c r="C41" t="s">
        <v>92</v>
      </c>
      <c r="D41">
        <v>307675</v>
      </c>
    </row>
    <row r="42" spans="1:4" x14ac:dyDescent="0.25">
      <c r="A42">
        <v>11</v>
      </c>
      <c r="B42">
        <v>2034</v>
      </c>
      <c r="C42" t="s">
        <v>88</v>
      </c>
      <c r="D42">
        <v>12269635</v>
      </c>
    </row>
    <row r="43" spans="1:4" x14ac:dyDescent="0.25">
      <c r="A43">
        <v>11</v>
      </c>
      <c r="B43">
        <v>2034</v>
      </c>
      <c r="C43" t="s">
        <v>90</v>
      </c>
      <c r="D43">
        <v>314130</v>
      </c>
    </row>
    <row r="44" spans="1:4" x14ac:dyDescent="0.25">
      <c r="A44">
        <v>11</v>
      </c>
      <c r="B44">
        <v>2034</v>
      </c>
      <c r="C44" t="s">
        <v>91</v>
      </c>
      <c r="D44">
        <v>235933</v>
      </c>
    </row>
    <row r="45" spans="1:4" x14ac:dyDescent="0.25">
      <c r="A45">
        <v>11</v>
      </c>
      <c r="B45">
        <v>2034</v>
      </c>
      <c r="C45" t="s">
        <v>92</v>
      </c>
      <c r="D45">
        <v>308422</v>
      </c>
    </row>
    <row r="46" spans="1:4" x14ac:dyDescent="0.25">
      <c r="A46">
        <v>12</v>
      </c>
      <c r="B46">
        <v>2035</v>
      </c>
      <c r="C46" t="s">
        <v>88</v>
      </c>
      <c r="D46">
        <v>12395922</v>
      </c>
    </row>
    <row r="47" spans="1:4" x14ac:dyDescent="0.25">
      <c r="A47">
        <v>12</v>
      </c>
      <c r="B47">
        <v>2035</v>
      </c>
      <c r="C47" t="s">
        <v>90</v>
      </c>
      <c r="D47">
        <v>323203</v>
      </c>
    </row>
    <row r="48" spans="1:4" x14ac:dyDescent="0.25">
      <c r="A48">
        <v>12</v>
      </c>
      <c r="B48">
        <v>2035</v>
      </c>
      <c r="C48" t="s">
        <v>91</v>
      </c>
      <c r="D48">
        <v>242196</v>
      </c>
    </row>
    <row r="49" spans="1:4" x14ac:dyDescent="0.25">
      <c r="A49">
        <v>12</v>
      </c>
      <c r="B49">
        <v>2035</v>
      </c>
      <c r="C49" t="s">
        <v>92</v>
      </c>
      <c r="D49">
        <v>311178</v>
      </c>
    </row>
    <row r="50" spans="1:4" x14ac:dyDescent="0.25">
      <c r="A50">
        <v>13</v>
      </c>
      <c r="B50">
        <v>2036</v>
      </c>
      <c r="C50" t="s">
        <v>88</v>
      </c>
      <c r="D50">
        <v>12516150</v>
      </c>
    </row>
    <row r="51" spans="1:4" x14ac:dyDescent="0.25">
      <c r="A51">
        <v>13</v>
      </c>
      <c r="B51">
        <v>2036</v>
      </c>
      <c r="C51" t="s">
        <v>90</v>
      </c>
      <c r="D51">
        <v>333498</v>
      </c>
    </row>
    <row r="52" spans="1:4" x14ac:dyDescent="0.25">
      <c r="A52">
        <v>13</v>
      </c>
      <c r="B52">
        <v>2036</v>
      </c>
      <c r="C52" t="s">
        <v>91</v>
      </c>
      <c r="D52">
        <v>247948</v>
      </c>
    </row>
    <row r="53" spans="1:4" x14ac:dyDescent="0.25">
      <c r="A53">
        <v>13</v>
      </c>
      <c r="B53">
        <v>2036</v>
      </c>
      <c r="C53" t="s">
        <v>92</v>
      </c>
      <c r="D53">
        <v>316084</v>
      </c>
    </row>
    <row r="54" spans="1:4" x14ac:dyDescent="0.25">
      <c r="A54">
        <v>14</v>
      </c>
      <c r="B54">
        <v>2037</v>
      </c>
      <c r="C54" t="s">
        <v>88</v>
      </c>
      <c r="D54">
        <v>12631729</v>
      </c>
    </row>
    <row r="55" spans="1:4" x14ac:dyDescent="0.25">
      <c r="A55">
        <v>14</v>
      </c>
      <c r="B55">
        <v>2037</v>
      </c>
      <c r="C55" t="s">
        <v>90</v>
      </c>
      <c r="D55">
        <v>342384</v>
      </c>
    </row>
    <row r="56" spans="1:4" x14ac:dyDescent="0.25">
      <c r="A56">
        <v>14</v>
      </c>
      <c r="B56">
        <v>2037</v>
      </c>
      <c r="C56" t="s">
        <v>91</v>
      </c>
      <c r="D56">
        <v>256370</v>
      </c>
    </row>
    <row r="57" spans="1:4" x14ac:dyDescent="0.25">
      <c r="A57">
        <v>14</v>
      </c>
      <c r="B57">
        <v>2037</v>
      </c>
      <c r="C57" t="s">
        <v>92</v>
      </c>
      <c r="D57">
        <v>322539</v>
      </c>
    </row>
    <row r="58" spans="1:4" x14ac:dyDescent="0.25">
      <c r="A58">
        <v>15</v>
      </c>
      <c r="B58">
        <v>2038</v>
      </c>
      <c r="C58" t="s">
        <v>88</v>
      </c>
      <c r="D58">
        <v>12813699</v>
      </c>
    </row>
    <row r="59" spans="1:4" x14ac:dyDescent="0.25">
      <c r="A59">
        <v>15</v>
      </c>
      <c r="B59">
        <v>2038</v>
      </c>
      <c r="C59" t="s">
        <v>90</v>
      </c>
      <c r="D59">
        <v>356907</v>
      </c>
    </row>
    <row r="60" spans="1:4" x14ac:dyDescent="0.25">
      <c r="A60">
        <v>15</v>
      </c>
      <c r="B60">
        <v>2038</v>
      </c>
      <c r="C60" t="s">
        <v>91</v>
      </c>
      <c r="D60">
        <v>267811</v>
      </c>
    </row>
    <row r="61" spans="1:4" x14ac:dyDescent="0.25">
      <c r="A61">
        <v>15</v>
      </c>
      <c r="B61">
        <v>2038</v>
      </c>
      <c r="C61" t="s">
        <v>92</v>
      </c>
      <c r="D61">
        <v>335433</v>
      </c>
    </row>
    <row r="62" spans="1:4" x14ac:dyDescent="0.25">
      <c r="A62">
        <v>16</v>
      </c>
      <c r="B62">
        <v>2039</v>
      </c>
      <c r="C62" t="s">
        <v>88</v>
      </c>
      <c r="D62">
        <v>12901799</v>
      </c>
    </row>
    <row r="63" spans="1:4" x14ac:dyDescent="0.25">
      <c r="A63">
        <v>16</v>
      </c>
      <c r="B63">
        <v>2039</v>
      </c>
      <c r="C63" t="s">
        <v>90</v>
      </c>
      <c r="D63">
        <v>366680</v>
      </c>
    </row>
    <row r="64" spans="1:4" x14ac:dyDescent="0.25">
      <c r="A64">
        <v>16</v>
      </c>
      <c r="B64">
        <v>2039</v>
      </c>
      <c r="C64" t="s">
        <v>91</v>
      </c>
      <c r="D64">
        <v>275438</v>
      </c>
    </row>
    <row r="65" spans="1:4" x14ac:dyDescent="0.25">
      <c r="A65">
        <v>16</v>
      </c>
      <c r="B65">
        <v>2039</v>
      </c>
      <c r="C65" t="s">
        <v>92</v>
      </c>
      <c r="D65">
        <v>342682</v>
      </c>
    </row>
    <row r="66" spans="1:4" x14ac:dyDescent="0.25">
      <c r="A66">
        <v>17</v>
      </c>
      <c r="B66">
        <v>2040</v>
      </c>
      <c r="C66" t="s">
        <v>88</v>
      </c>
      <c r="D66">
        <v>12982267</v>
      </c>
    </row>
    <row r="67" spans="1:4" x14ac:dyDescent="0.25">
      <c r="A67">
        <v>17</v>
      </c>
      <c r="B67">
        <v>2040</v>
      </c>
      <c r="C67" t="s">
        <v>90</v>
      </c>
      <c r="D67">
        <v>375933</v>
      </c>
    </row>
    <row r="68" spans="1:4" x14ac:dyDescent="0.25">
      <c r="A68">
        <v>17</v>
      </c>
      <c r="B68">
        <v>2040</v>
      </c>
      <c r="C68" t="s">
        <v>91</v>
      </c>
      <c r="D68">
        <v>282524</v>
      </c>
    </row>
    <row r="69" spans="1:4" x14ac:dyDescent="0.25">
      <c r="A69">
        <v>17</v>
      </c>
      <c r="B69">
        <v>2040</v>
      </c>
      <c r="C69" t="s">
        <v>92</v>
      </c>
      <c r="D69">
        <v>351749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25">
      <c r="A2" t="s">
        <v>61</v>
      </c>
      <c r="B2">
        <v>67</v>
      </c>
      <c r="C2">
        <v>2247</v>
      </c>
      <c r="D2">
        <v>233802</v>
      </c>
      <c r="E2">
        <v>9.6106962301434548E-3</v>
      </c>
      <c r="F2">
        <v>1.5601781572342779E-2</v>
      </c>
      <c r="G2">
        <v>4.3857837338099909E-3</v>
      </c>
      <c r="H2">
        <v>1</v>
      </c>
      <c r="I2">
        <v>0</v>
      </c>
    </row>
    <row r="3" spans="1:9" x14ac:dyDescent="0.25">
      <c r="A3" t="s">
        <v>62</v>
      </c>
      <c r="B3">
        <v>72</v>
      </c>
      <c r="C3">
        <v>13874</v>
      </c>
      <c r="D3">
        <v>642527</v>
      </c>
      <c r="E3">
        <v>2.1592866914542111E-2</v>
      </c>
      <c r="F3">
        <v>2.0879478912602709E-2</v>
      </c>
      <c r="G3">
        <v>5.4425949715285237E-3</v>
      </c>
      <c r="H3">
        <v>1.2409629160625451</v>
      </c>
      <c r="I3">
        <v>0.21588762347344301</v>
      </c>
    </row>
    <row r="4" spans="1:9" x14ac:dyDescent="0.25">
      <c r="A4" t="s">
        <v>63</v>
      </c>
      <c r="B4">
        <v>77</v>
      </c>
      <c r="C4">
        <v>38906</v>
      </c>
      <c r="D4">
        <v>1237670</v>
      </c>
      <c r="E4">
        <v>3.143487359312256E-2</v>
      </c>
      <c r="F4">
        <v>3.5296385631943678E-2</v>
      </c>
      <c r="G4">
        <v>6.9133799920237564E-3</v>
      </c>
      <c r="H4">
        <v>1.5763157537223129</v>
      </c>
      <c r="I4">
        <v>0.45509032271468208</v>
      </c>
    </row>
    <row r="5" spans="1:9" x14ac:dyDescent="0.25">
      <c r="A5" t="s">
        <v>64</v>
      </c>
      <c r="B5">
        <v>82</v>
      </c>
      <c r="C5">
        <v>132707</v>
      </c>
      <c r="D5">
        <v>2510470</v>
      </c>
      <c r="E5">
        <v>5.2861416388166362E-2</v>
      </c>
      <c r="F5">
        <v>5.1415404996069891E-2</v>
      </c>
      <c r="G5">
        <v>8.7158396058916142E-3</v>
      </c>
      <c r="H5">
        <v>1.9872935226379811</v>
      </c>
      <c r="I5">
        <v>0.68677367416872981</v>
      </c>
    </row>
    <row r="6" spans="1:9" x14ac:dyDescent="0.25">
      <c r="A6" t="s">
        <v>65</v>
      </c>
      <c r="B6">
        <v>87</v>
      </c>
      <c r="C6">
        <v>207957</v>
      </c>
      <c r="D6">
        <v>2972941</v>
      </c>
      <c r="E6">
        <v>6.9949925006920752E-2</v>
      </c>
      <c r="F6">
        <v>7.817547063718229E-2</v>
      </c>
      <c r="G6">
        <v>1.0929231037188229E-2</v>
      </c>
      <c r="H6">
        <v>2.4919676163999669</v>
      </c>
      <c r="I6">
        <v>0.91307260581668048</v>
      </c>
    </row>
    <row r="7" spans="1:9" x14ac:dyDescent="0.25">
      <c r="A7" t="s">
        <v>66</v>
      </c>
      <c r="C7">
        <v>637760</v>
      </c>
      <c r="D7">
        <v>5708809</v>
      </c>
      <c r="E7">
        <v>0.11171507051645969</v>
      </c>
      <c r="F7">
        <v>9.0832497761690251E-2</v>
      </c>
      <c r="G7">
        <v>1.651672593020578E-2</v>
      </c>
      <c r="H7">
        <v>3.7659690793411449</v>
      </c>
      <c r="I7">
        <v>1.3260052197235981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YearlyFlows</vt:lpstr>
      <vt:lpstr>RiskFactorPrevalence</vt:lpstr>
      <vt:lpstr>SeverityPrevalence</vt:lpstr>
      <vt:lpstr>CasesPer1k</vt:lpstr>
      <vt:lpstr>IncidenceByYearSex</vt:lpstr>
      <vt:lpstr>PrevalenceByAgeSex</vt:lpstr>
      <vt:lpstr>MeanAgeByTimeStep</vt:lpstr>
      <vt:lpstr>BaselineAgeDist</vt:lpstr>
      <vt:lpstr>AgeAtDeathDist</vt:lpstr>
      <vt:lpstr>AgeAtOnsetDist</vt:lpstr>
      <vt:lpstr>RiskFactorOnsets</vt:lpstr>
      <vt:lpstr>LifetimeRiskNormal</vt:lpstr>
      <vt:lpstr>LifetimeRiskAll</vt:lpstr>
      <vt:lpstr>TransitionProbabilities</vt:lpstr>
      <vt:lpstr>TransitionProbabilitiesAverage</vt:lpstr>
      <vt:lpstr>TransitionCounts</vt:lpstr>
      <vt:lpstr>TransitionStarts</vt:lpstr>
      <vt:lpstr>AgeHazardSummary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2026-01-31T08:26:42Z</dcterms:created>
  <dcterms:modified xsi:type="dcterms:W3CDTF">2026-02-03T16:14:32Z</dcterms:modified>
</cp:coreProperties>
</file>